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9BED2E60-86F5-403B-8829-73608FF4D413}" xr6:coauthVersionLast="47" xr6:coauthVersionMax="47" xr10:uidLastSave="{00000000-0000-0000-0000-000000000000}"/>
  <bookViews>
    <workbookView xWindow="240" yWindow="105" windowWidth="14805" windowHeight="8010" firstSheet="3" xr2:uid="{00000000-000D-0000-FFFF-FFFF00000000}"/>
  </bookViews>
  <sheets>
    <sheet name="Datos generales" sheetId="1" r:id="rId1"/>
    <sheet name="BD Enero horas" sheetId="2" r:id="rId2"/>
    <sheet name="BD Julio horas" sheetId="3" r:id="rId3"/>
    <sheet name="Enero minutos" sheetId="4" r:id="rId4"/>
    <sheet name="Julio minutos" sheetId="5" r:id="rId5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84" i="5" l="1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08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2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96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0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84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78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66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54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08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2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96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0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84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78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2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66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0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54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48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2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20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143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2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96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0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843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24" i="5"/>
  <c r="B42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36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03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08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23" i="4"/>
  <c r="C1022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96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0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843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23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0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14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08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23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0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783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48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2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36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0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54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48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2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0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18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2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14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08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2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96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0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84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78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2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66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0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54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48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2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363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6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03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3" i="4"/>
  <c r="C243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302" i="4"/>
  <c r="C244" i="4"/>
</calcChain>
</file>

<file path=xl/sharedStrings.xml><?xml version="1.0" encoding="utf-8"?>
<sst xmlns="http://schemas.openxmlformats.org/spreadsheetml/2006/main" count="269" uniqueCount="62">
  <si>
    <t>Base de datos Proyecto Grupo 13</t>
  </si>
  <si>
    <t>Datos a lo largo del año</t>
  </si>
  <si>
    <t>Radiacion Global</t>
  </si>
  <si>
    <t>Radiacion Directa</t>
  </si>
  <si>
    <t>Radiacion Difusa</t>
  </si>
  <si>
    <t>Radiacion Difusa Reflejada</t>
  </si>
  <si>
    <t>Radiacion Global Horizontal</t>
  </si>
  <si>
    <t>Radiacion Directa Normal</t>
  </si>
  <si>
    <t>Temperatura en 2 metros (Corejida)</t>
  </si>
  <si>
    <t>Velocidad de Viento</t>
  </si>
  <si>
    <t>Presencia de sombras debido a la topografia</t>
  </si>
  <si>
    <t>Presencia de nubes</t>
  </si>
  <si>
    <t>W/m2</t>
  </si>
  <si>
    <t>C</t>
  </si>
  <si>
    <t>m/s</t>
  </si>
  <si>
    <t>0 = Sin; 1 = Con (inc. la noche);</t>
  </si>
  <si>
    <t>1=Si, 0=No</t>
  </si>
  <si>
    <t>00:00 a 23:00</t>
  </si>
  <si>
    <t>Enero a 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</si>
  <si>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</si>
  <si>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</si>
  <si>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</si>
  <si>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</si>
  <si>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</si>
  <si>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</si>
  <si>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</si>
  <si>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</si>
  <si>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</si>
  <si>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</si>
  <si>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</si>
  <si>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</si>
  <si>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Datos a lo largo del día</t>
  </si>
  <si>
    <t>Ciclo diario de radiación</t>
  </si>
  <si>
    <t>Tabla : Promedio horario de la radiación incidente en un plano inclinado en unidades de [W/m2]</t>
  </si>
  <si>
    <t>Hora</t>
  </si>
  <si>
    <t>Directa</t>
  </si>
  <si>
    <t>Difusa</t>
  </si>
  <si>
    <t>Suelo</t>
  </si>
  <si>
    <t>Global</t>
  </si>
  <si>
    <t>Temperaturas</t>
  </si>
  <si>
    <t>Temperaturas medias mensuales</t>
  </si>
  <si>
    <t xml:space="preserve">Mes </t>
  </si>
  <si>
    <t>º C</t>
  </si>
  <si>
    <t>Temperaturas medias diarias</t>
  </si>
  <si>
    <t>Viento medio diario</t>
  </si>
  <si>
    <t>Viento medido a 5.5 metros sobre el nivel del panel</t>
  </si>
  <si>
    <t>Ciclo diario de temperaturas</t>
  </si>
  <si>
    <t>Tabla : Promedio horario de temperaturas ambientales en unidades de [º C]</t>
  </si>
  <si>
    <t>Ciclo diario de vientos</t>
  </si>
  <si>
    <t>Tabla : Promedio de la magnitud del viento para cada hora en unidades de [m/s]</t>
  </si>
  <si>
    <t>Tiempo [horas]</t>
  </si>
  <si>
    <t>Temperatura ambiente [ºC]</t>
  </si>
  <si>
    <t>Velocidad del viento [m/s]</t>
  </si>
  <si>
    <t>Irradiancia global [W/m2]</t>
  </si>
  <si>
    <t>Tiempo [segundos]</t>
  </si>
  <si>
    <t>Tabla general por hora/minuto</t>
  </si>
  <si>
    <t>hora</t>
  </si>
  <si>
    <t>min</t>
  </si>
  <si>
    <t>Temp</t>
  </si>
  <si>
    <t>Velocidad</t>
  </si>
  <si>
    <t>Rad</t>
  </si>
  <si>
    <t>Tabla general por hora/minutos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</si>
</sst>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13" xfId="0" applyBorder="1"/>
    <xf numFmtId="0" fontId="1" fillId="0" borderId="12" xfId="0" applyFont="1" applyBorder="1"/>
    <xf numFmtId="0" fontId="1" fillId="0" borderId="0" xfId="0" applyFont="1"/>
    <xf numFmtId="0" fontId="0" fillId="0" borderId="9" xfId="0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2" fontId="0" fillId="0" borderId="4" xfId="0" applyNumberFormat="1" applyBorder="1"/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5" xfId="0" applyNumberFormat="1" applyBorder="1"/>
    <xf numFmtId="1" fontId="0" fillId="0" borderId="5" xfId="0" applyNumberFormat="1" applyBorder="1"/>
    <xf numFmtId="1" fontId="0" fillId="0" borderId="8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Promedio horario de la radiación global instantánea incidente en un plano inclinado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{"Directa en el panel"}</c:f>
              <c:strCache>
                <c:ptCount val="1"/>
                <c:pt idx="0">
                  <c:v>Directa en el panel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val>
            <c:numRef>
              <c:f>'Datos generales'!$C$27:$Z$27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37.31</c:v>
                </c:pt>
                <c:pt idx="8">
                  <c:v>270.89999999999998</c:v>
                </c:pt>
                <c:pt idx="9">
                  <c:v>519.41</c:v>
                </c:pt>
                <c:pt idx="10">
                  <c:v>730.49</c:v>
                </c:pt>
                <c:pt idx="11">
                  <c:v>863.3</c:v>
                </c:pt>
                <c:pt idx="12">
                  <c:v>931.94</c:v>
                </c:pt>
                <c:pt idx="13">
                  <c:v>939.76</c:v>
                </c:pt>
                <c:pt idx="14">
                  <c:v>892.99</c:v>
                </c:pt>
                <c:pt idx="15">
                  <c:v>766.79</c:v>
                </c:pt>
                <c:pt idx="16">
                  <c:v>578.04</c:v>
                </c:pt>
                <c:pt idx="17">
                  <c:v>340.63</c:v>
                </c:pt>
                <c:pt idx="18">
                  <c:v>74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7D-492B-A598-CC2F0433C883}"/>
            </c:ext>
          </c:extLst>
        </c:ser>
        <c:ser>
          <c:idx val="1"/>
          <c:order val="1"/>
          <c:tx>
            <c:strRef>
              <c:f>{"Difusa en el panel"}</c:f>
              <c:strCache>
                <c:ptCount val="1"/>
                <c:pt idx="0">
                  <c:v>Difusa en el panel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val>
            <c:numRef>
              <c:f>'Datos generales'!$C$28:$Z$28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1.47</c:v>
                </c:pt>
                <c:pt idx="7">
                  <c:v>15.62</c:v>
                </c:pt>
                <c:pt idx="8">
                  <c:v>36.44</c:v>
                </c:pt>
                <c:pt idx="9">
                  <c:v>49.76</c:v>
                </c:pt>
                <c:pt idx="10">
                  <c:v>60.32</c:v>
                </c:pt>
                <c:pt idx="11">
                  <c:v>80.52</c:v>
                </c:pt>
                <c:pt idx="12">
                  <c:v>94.3</c:v>
                </c:pt>
                <c:pt idx="13">
                  <c:v>93.95</c:v>
                </c:pt>
                <c:pt idx="14">
                  <c:v>80.569999999999993</c:v>
                </c:pt>
                <c:pt idx="15">
                  <c:v>66.91</c:v>
                </c:pt>
                <c:pt idx="16">
                  <c:v>52.48</c:v>
                </c:pt>
                <c:pt idx="17">
                  <c:v>41.16</c:v>
                </c:pt>
                <c:pt idx="18">
                  <c:v>21.49</c:v>
                </c:pt>
                <c:pt idx="19">
                  <c:v>4.04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7D-492B-A598-CC2F0433C883}"/>
            </c:ext>
          </c:extLst>
        </c:ser>
        <c:ser>
          <c:idx val="2"/>
          <c:order val="2"/>
          <c:tx>
            <c:strRef>
              <c:f>{"Reflejada del suelo"}</c:f>
              <c:strCache>
                <c:ptCount val="1"/>
                <c:pt idx="0">
                  <c:v>Reflejada del suelo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val>
            <c:numRef>
              <c:f>'Datos generales'!$C$29:$Z$29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0.03</c:v>
                </c:pt>
                <c:pt idx="7">
                  <c:v>0.9</c:v>
                </c:pt>
                <c:pt idx="8">
                  <c:v>3.09</c:v>
                </c:pt>
                <c:pt idx="9">
                  <c:v>5.52</c:v>
                </c:pt>
                <c:pt idx="10">
                  <c:v>7.62</c:v>
                </c:pt>
                <c:pt idx="11">
                  <c:v>9.1</c:v>
                </c:pt>
                <c:pt idx="12">
                  <c:v>9.9</c:v>
                </c:pt>
                <c:pt idx="13">
                  <c:v>9.98</c:v>
                </c:pt>
                <c:pt idx="14">
                  <c:v>9.3800000000000008</c:v>
                </c:pt>
                <c:pt idx="15">
                  <c:v>8.0399999999999991</c:v>
                </c:pt>
                <c:pt idx="16">
                  <c:v>6.1</c:v>
                </c:pt>
                <c:pt idx="17">
                  <c:v>3.75</c:v>
                </c:pt>
                <c:pt idx="18">
                  <c:v>1.32</c:v>
                </c:pt>
                <c:pt idx="19">
                  <c:v>0.13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7D-492B-A598-CC2F0433C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415175"/>
        <c:axId val="722615816"/>
      </c:barChart>
      <c:catAx>
        <c:axId val="713415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615816"/>
        <c:crosses val="autoZero"/>
        <c:auto val="1"/>
        <c:lblAlgn val="ctr"/>
        <c:lblOffset val="100"/>
        <c:noMultiLvlLbl val="0"/>
      </c:catAx>
      <c:valAx>
        <c:axId val="722615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15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30</xdr:row>
      <xdr:rowOff>180975</xdr:rowOff>
    </xdr:from>
    <xdr:to>
      <xdr:col>17</xdr:col>
      <xdr:colOff>600075</xdr:colOff>
      <xdr:row>52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D0480B-4519-F139-E692-FD6764A97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L86"/>
  <sheetViews>
    <sheetView tabSelected="1" workbookViewId="0">
      <selection activeCell="B89" sqref="B89"/>
    </sheetView>
  </sheetViews>
  <sheetFormatPr defaultRowHeight="15"/>
  <sheetData>
    <row r="2" spans="2:38">
      <c r="B2" s="26" t="s">
        <v>0</v>
      </c>
      <c r="C2" s="26"/>
      <c r="D2" s="26"/>
      <c r="E2" s="26"/>
    </row>
    <row r="3" spans="2:38">
      <c r="B3" s="26" t="s">
        <v>1</v>
      </c>
      <c r="C3" s="26"/>
      <c r="D3" s="26"/>
      <c r="E3" s="26"/>
      <c r="F3" s="26"/>
    </row>
    <row r="4" spans="2:38">
      <c r="B4" t="s">
        <v>2</v>
      </c>
      <c r="E4" t="s">
        <v>3</v>
      </c>
      <c r="H4" t="s">
        <v>4</v>
      </c>
      <c r="K4" t="s">
        <v>5</v>
      </c>
      <c r="O4" t="s">
        <v>6</v>
      </c>
      <c r="S4" t="s">
        <v>3</v>
      </c>
      <c r="V4" t="s">
        <v>4</v>
      </c>
      <c r="Y4" t="s">
        <v>7</v>
      </c>
      <c r="AB4" t="s">
        <v>8</v>
      </c>
      <c r="AE4" t="s">
        <v>9</v>
      </c>
      <c r="AH4" t="s">
        <v>10</v>
      </c>
      <c r="AK4" t="s">
        <v>11</v>
      </c>
    </row>
    <row r="5" spans="2:38">
      <c r="B5" t="s">
        <v>12</v>
      </c>
      <c r="E5" t="s">
        <v>12</v>
      </c>
      <c r="H5" t="s">
        <v>12</v>
      </c>
      <c r="K5" t="s">
        <v>12</v>
      </c>
      <c r="O5" t="s">
        <v>12</v>
      </c>
      <c r="S5" t="s">
        <v>12</v>
      </c>
      <c r="V5" t="s">
        <v>12</v>
      </c>
      <c r="Y5" t="s">
        <v>12</v>
      </c>
      <c r="AB5" t="s">
        <v>13</v>
      </c>
      <c r="AE5" t="s">
        <v>14</v>
      </c>
      <c r="AH5" t="s">
        <v>15</v>
      </c>
      <c r="AK5" t="s">
        <v>16</v>
      </c>
    </row>
    <row r="7" spans="2:38">
      <c r="C7" t="s">
        <v>17</v>
      </c>
      <c r="F7" t="s">
        <v>17</v>
      </c>
      <c r="I7" t="s">
        <v>17</v>
      </c>
      <c r="L7" t="s">
        <v>17</v>
      </c>
      <c r="P7" t="s">
        <v>17</v>
      </c>
      <c r="T7" t="s">
        <v>17</v>
      </c>
      <c r="W7" t="s">
        <v>17</v>
      </c>
      <c r="Z7" t="s">
        <v>17</v>
      </c>
      <c r="AC7" t="s">
        <v>17</v>
      </c>
      <c r="AF7" t="s">
        <v>17</v>
      </c>
      <c r="AI7" t="s">
        <v>17</v>
      </c>
      <c r="AL7" t="s">
        <v>17</v>
      </c>
    </row>
    <row r="8" spans="2:38">
      <c r="B8" t="s">
        <v>18</v>
      </c>
      <c r="C8">
        <v>321.78423694444439</v>
      </c>
      <c r="E8" t="s">
        <v>18</v>
      </c>
      <c r="F8">
        <v>289.49301131944452</v>
      </c>
      <c r="H8" t="s">
        <v>18</v>
      </c>
      <c r="I8">
        <v>29.168695729166672</v>
      </c>
      <c r="K8" t="s">
        <v>18</v>
      </c>
      <c r="L8">
        <v>3.1225300347222218</v>
      </c>
      <c r="O8" t="s">
        <v>18</v>
      </c>
      <c r="P8">
        <v>300.97993017361108</v>
      </c>
      <c r="S8" t="s">
        <v>18</v>
      </c>
      <c r="T8">
        <v>270.49338420138889</v>
      </c>
      <c r="V8" t="s">
        <v>18</v>
      </c>
      <c r="W8">
        <v>30.48654600694444</v>
      </c>
      <c r="Y8" t="s">
        <v>18</v>
      </c>
      <c r="Z8">
        <v>434.9951131944444</v>
      </c>
      <c r="AB8" t="s">
        <v>18</v>
      </c>
      <c r="AC8">
        <v>17.47164427083333</v>
      </c>
      <c r="AE8" t="s">
        <v>18</v>
      </c>
      <c r="AF8">
        <v>3.7768339930555559</v>
      </c>
      <c r="AH8" t="s">
        <v>18</v>
      </c>
      <c r="AI8">
        <v>0.52162944444444448</v>
      </c>
      <c r="AK8" t="s">
        <v>18</v>
      </c>
      <c r="AL8">
        <v>3.5060694444444443E-2</v>
      </c>
    </row>
    <row r="9" spans="2:38">
      <c r="B9" t="s">
        <v>19</v>
      </c>
      <c r="C9">
        <v>339.91805833333331</v>
      </c>
      <c r="E9" t="s">
        <v>19</v>
      </c>
      <c r="F9">
        <v>295.74664041666671</v>
      </c>
      <c r="H9" t="s">
        <v>19</v>
      </c>
      <c r="I9">
        <v>40.199847499999997</v>
      </c>
      <c r="K9" t="s">
        <v>19</v>
      </c>
      <c r="L9">
        <v>3.9715712500000002</v>
      </c>
      <c r="O9" t="s">
        <v>19</v>
      </c>
      <c r="P9">
        <v>382.81883458333328</v>
      </c>
      <c r="S9" t="s">
        <v>19</v>
      </c>
      <c r="T9">
        <v>340.80274624999998</v>
      </c>
      <c r="V9" t="s">
        <v>19</v>
      </c>
      <c r="W9">
        <v>42.01608791666667</v>
      </c>
      <c r="Y9" t="s">
        <v>19</v>
      </c>
      <c r="Z9">
        <v>498.97587708333339</v>
      </c>
      <c r="AB9" t="s">
        <v>19</v>
      </c>
      <c r="AC9">
        <v>19.495756249999999</v>
      </c>
      <c r="AE9" t="s">
        <v>19</v>
      </c>
      <c r="AF9">
        <v>4.2246525000000004</v>
      </c>
      <c r="AH9" t="s">
        <v>19</v>
      </c>
      <c r="AI9">
        <v>0.45833333333333331</v>
      </c>
      <c r="AK9" t="s">
        <v>19</v>
      </c>
      <c r="AL9">
        <v>4.1769166666666663E-2</v>
      </c>
    </row>
    <row r="10" spans="2:38">
      <c r="B10" t="s">
        <v>20</v>
      </c>
      <c r="C10">
        <v>341.71305458333342</v>
      </c>
      <c r="E10" t="s">
        <v>20</v>
      </c>
      <c r="F10">
        <v>299.70679000000001</v>
      </c>
      <c r="H10" t="s">
        <v>20</v>
      </c>
      <c r="I10">
        <v>38.32086291666667</v>
      </c>
      <c r="K10" t="s">
        <v>20</v>
      </c>
      <c r="L10">
        <v>3.685402083333333</v>
      </c>
      <c r="O10" t="s">
        <v>20</v>
      </c>
      <c r="P10">
        <v>355.23499750000002</v>
      </c>
      <c r="S10" t="s">
        <v>20</v>
      </c>
      <c r="T10">
        <v>315.18278750000002</v>
      </c>
      <c r="V10" t="s">
        <v>20</v>
      </c>
      <c r="W10">
        <v>40.052210833333334</v>
      </c>
      <c r="Y10" t="s">
        <v>20</v>
      </c>
      <c r="Z10">
        <v>463.9155945833333</v>
      </c>
      <c r="AB10" t="s">
        <v>20</v>
      </c>
      <c r="AC10">
        <v>19.419901249999999</v>
      </c>
      <c r="AE10" t="s">
        <v>20</v>
      </c>
      <c r="AF10">
        <v>4.1619954166666666</v>
      </c>
      <c r="AH10" t="s">
        <v>20</v>
      </c>
      <c r="AI10">
        <v>0.48505416666666668</v>
      </c>
      <c r="AK10" t="s">
        <v>20</v>
      </c>
      <c r="AL10">
        <v>4.5629583333333328E-2</v>
      </c>
    </row>
    <row r="11" spans="2:38">
      <c r="B11" t="s">
        <v>21</v>
      </c>
      <c r="C11">
        <v>342.86053958333332</v>
      </c>
      <c r="E11" t="s">
        <v>21</v>
      </c>
      <c r="F11">
        <v>311.88194833333341</v>
      </c>
      <c r="H11" t="s">
        <v>21</v>
      </c>
      <c r="I11">
        <v>27.664353333333331</v>
      </c>
      <c r="K11" t="s">
        <v>21</v>
      </c>
      <c r="L11">
        <v>3.3142387499999999</v>
      </c>
      <c r="O11" t="s">
        <v>21</v>
      </c>
      <c r="P11">
        <v>319.45859833333333</v>
      </c>
      <c r="S11" t="s">
        <v>21</v>
      </c>
      <c r="T11">
        <v>290.54436125000001</v>
      </c>
      <c r="V11" t="s">
        <v>21</v>
      </c>
      <c r="W11">
        <v>28.91423708333333</v>
      </c>
      <c r="Y11" t="s">
        <v>21</v>
      </c>
      <c r="Z11">
        <v>452.57809833333329</v>
      </c>
      <c r="AB11" t="s">
        <v>21</v>
      </c>
      <c r="AC11">
        <v>18.676701250000001</v>
      </c>
      <c r="AE11" t="s">
        <v>21</v>
      </c>
      <c r="AF11">
        <v>3.7907808333333328</v>
      </c>
      <c r="AH11" t="s">
        <v>21</v>
      </c>
      <c r="AI11">
        <v>0.51178666666666672</v>
      </c>
      <c r="AK11" t="s">
        <v>21</v>
      </c>
      <c r="AL11">
        <v>2.3262499999999998E-2</v>
      </c>
    </row>
    <row r="12" spans="2:38">
      <c r="B12" t="s">
        <v>22</v>
      </c>
      <c r="C12">
        <v>314.88327083333331</v>
      </c>
      <c r="E12" t="s">
        <v>22</v>
      </c>
      <c r="F12">
        <v>284.32481625000003</v>
      </c>
      <c r="H12" t="s">
        <v>22</v>
      </c>
      <c r="I12">
        <v>27.841327499999991</v>
      </c>
      <c r="K12" t="s">
        <v>22</v>
      </c>
      <c r="L12">
        <v>2.7171275000000001</v>
      </c>
      <c r="O12" t="s">
        <v>22</v>
      </c>
      <c r="P12">
        <v>261.90323916666671</v>
      </c>
      <c r="S12" t="s">
        <v>22</v>
      </c>
      <c r="T12">
        <v>232.80403166666659</v>
      </c>
      <c r="V12" t="s">
        <v>22</v>
      </c>
      <c r="W12">
        <v>29.099207083333329</v>
      </c>
      <c r="Y12" t="s">
        <v>22</v>
      </c>
      <c r="Z12">
        <v>390.1501229166667</v>
      </c>
      <c r="AB12" t="s">
        <v>22</v>
      </c>
      <c r="AC12">
        <v>17.50242041666667</v>
      </c>
      <c r="AE12" t="s">
        <v>22</v>
      </c>
      <c r="AF12">
        <v>3.609516666666666</v>
      </c>
      <c r="AH12" t="s">
        <v>22</v>
      </c>
      <c r="AI12">
        <v>0.56602583333333334</v>
      </c>
      <c r="AK12" t="s">
        <v>22</v>
      </c>
      <c r="AL12">
        <v>3.9315416666666672E-2</v>
      </c>
    </row>
    <row r="13" spans="2:38">
      <c r="B13" t="s">
        <v>23</v>
      </c>
      <c r="C13">
        <v>288.08565791666672</v>
      </c>
      <c r="E13" t="s">
        <v>23</v>
      </c>
      <c r="F13">
        <v>263.53918708333327</v>
      </c>
      <c r="H13" t="s">
        <v>23</v>
      </c>
      <c r="I13">
        <v>22.3051125</v>
      </c>
      <c r="K13" t="s">
        <v>23</v>
      </c>
      <c r="L13">
        <v>2.2413587499999998</v>
      </c>
      <c r="O13" t="s">
        <v>23</v>
      </c>
      <c r="P13">
        <v>216.04399958333329</v>
      </c>
      <c r="S13" t="s">
        <v>23</v>
      </c>
      <c r="T13">
        <v>192.73113541666669</v>
      </c>
      <c r="V13" t="s">
        <v>23</v>
      </c>
      <c r="W13">
        <v>23.312864166666671</v>
      </c>
      <c r="Y13" t="s">
        <v>23</v>
      </c>
      <c r="Z13">
        <v>365.59107291666669</v>
      </c>
      <c r="AB13" t="s">
        <v>23</v>
      </c>
      <c r="AC13">
        <v>16.500422499999999</v>
      </c>
      <c r="AE13" t="s">
        <v>23</v>
      </c>
      <c r="AF13">
        <v>3.6008845833333338</v>
      </c>
      <c r="AH13" t="s">
        <v>23</v>
      </c>
      <c r="AI13">
        <v>0.58333333333333337</v>
      </c>
      <c r="AK13" t="s">
        <v>23</v>
      </c>
      <c r="AL13">
        <v>3.5980416666666667E-2</v>
      </c>
    </row>
    <row r="14" spans="2:38">
      <c r="B14" t="s">
        <v>24</v>
      </c>
      <c r="C14">
        <v>271.44593541666671</v>
      </c>
      <c r="E14" t="s">
        <v>24</v>
      </c>
      <c r="F14">
        <v>247.73704624999999</v>
      </c>
      <c r="H14" t="s">
        <v>24</v>
      </c>
      <c r="I14">
        <v>21.70453083333334</v>
      </c>
      <c r="K14" t="s">
        <v>24</v>
      </c>
      <c r="L14">
        <v>2.0043595833333332</v>
      </c>
      <c r="O14" t="s">
        <v>24</v>
      </c>
      <c r="P14">
        <v>193.19974124999999</v>
      </c>
      <c r="S14" t="s">
        <v>24</v>
      </c>
      <c r="T14">
        <v>170.51459374999999</v>
      </c>
      <c r="V14" t="s">
        <v>24</v>
      </c>
      <c r="W14">
        <v>22.685147499999999</v>
      </c>
      <c r="Y14" t="s">
        <v>24</v>
      </c>
      <c r="Z14">
        <v>351.69137916666659</v>
      </c>
      <c r="AB14" t="s">
        <v>24</v>
      </c>
      <c r="AC14">
        <v>16.10705458333333</v>
      </c>
      <c r="AE14" t="s">
        <v>24</v>
      </c>
      <c r="AF14">
        <v>2.8430991666666672</v>
      </c>
      <c r="AH14" t="s">
        <v>24</v>
      </c>
      <c r="AI14">
        <v>0.58333333333333337</v>
      </c>
      <c r="AK14" t="s">
        <v>24</v>
      </c>
      <c r="AL14">
        <v>3.9850416666666673E-2</v>
      </c>
    </row>
    <row r="15" spans="2:38">
      <c r="B15" t="s">
        <v>25</v>
      </c>
      <c r="C15">
        <v>271.50653375000002</v>
      </c>
      <c r="E15" t="s">
        <v>25</v>
      </c>
      <c r="F15">
        <v>244.13077541666669</v>
      </c>
      <c r="H15" t="s">
        <v>25</v>
      </c>
      <c r="I15">
        <v>25.30492958333334</v>
      </c>
      <c r="K15" t="s">
        <v>25</v>
      </c>
      <c r="L15">
        <v>2.0708299999999999</v>
      </c>
      <c r="O15" t="s">
        <v>25</v>
      </c>
      <c r="P15">
        <v>199.60680708333331</v>
      </c>
      <c r="S15" t="s">
        <v>25</v>
      </c>
      <c r="T15">
        <v>173.15859374999999</v>
      </c>
      <c r="V15" t="s">
        <v>25</v>
      </c>
      <c r="W15">
        <v>26.448213333333332</v>
      </c>
      <c r="Y15" t="s">
        <v>25</v>
      </c>
      <c r="Z15">
        <v>344.33495583333342</v>
      </c>
      <c r="AB15" t="s">
        <v>25</v>
      </c>
      <c r="AC15">
        <v>15.056259166666671</v>
      </c>
      <c r="AE15" t="s">
        <v>25</v>
      </c>
      <c r="AF15">
        <v>2.996970833333334</v>
      </c>
      <c r="AH15" t="s">
        <v>25</v>
      </c>
      <c r="AI15">
        <v>0.58333333333333337</v>
      </c>
      <c r="AK15" t="s">
        <v>25</v>
      </c>
      <c r="AL15">
        <v>5.4694583333333317E-2</v>
      </c>
    </row>
    <row r="16" spans="2:38">
      <c r="B16" t="s">
        <v>26</v>
      </c>
      <c r="C16">
        <v>305.67941208333332</v>
      </c>
      <c r="E16" t="s">
        <v>26</v>
      </c>
      <c r="F16">
        <v>277.48950041666671</v>
      </c>
      <c r="H16" t="s">
        <v>26</v>
      </c>
      <c r="I16">
        <v>25.648739166666669</v>
      </c>
      <c r="K16" t="s">
        <v>26</v>
      </c>
      <c r="L16">
        <v>2.5411712500000001</v>
      </c>
      <c r="O16" t="s">
        <v>26</v>
      </c>
      <c r="P16">
        <v>244.94292625</v>
      </c>
      <c r="S16" t="s">
        <v>26</v>
      </c>
      <c r="T16">
        <v>218.1353675</v>
      </c>
      <c r="V16" t="s">
        <v>26</v>
      </c>
      <c r="W16">
        <v>26.807558333333329</v>
      </c>
      <c r="Y16" t="s">
        <v>26</v>
      </c>
      <c r="Z16">
        <v>379.92587791666659</v>
      </c>
      <c r="AB16" t="s">
        <v>26</v>
      </c>
      <c r="AC16">
        <v>15.991427083333329</v>
      </c>
      <c r="AE16" t="s">
        <v>26</v>
      </c>
      <c r="AF16">
        <v>3.4419070833333341</v>
      </c>
      <c r="AH16" t="s">
        <v>26</v>
      </c>
      <c r="AI16">
        <v>0.5775433333333333</v>
      </c>
      <c r="AK16" t="s">
        <v>26</v>
      </c>
      <c r="AL16">
        <v>3.7841666666666669E-2</v>
      </c>
    </row>
    <row r="17" spans="2:38">
      <c r="B17" t="s">
        <v>27</v>
      </c>
      <c r="C17">
        <v>339.56922041666672</v>
      </c>
      <c r="E17" t="s">
        <v>27</v>
      </c>
      <c r="F17">
        <v>309.84897999999998</v>
      </c>
      <c r="H17" t="s">
        <v>27</v>
      </c>
      <c r="I17">
        <v>26.57374708333333</v>
      </c>
      <c r="K17" t="s">
        <v>27</v>
      </c>
      <c r="L17">
        <v>3.146492499999999</v>
      </c>
      <c r="O17" t="s">
        <v>27</v>
      </c>
      <c r="P17">
        <v>303.28969875000001</v>
      </c>
      <c r="S17" t="s">
        <v>27</v>
      </c>
      <c r="T17">
        <v>275.51534208333328</v>
      </c>
      <c r="V17" t="s">
        <v>27</v>
      </c>
      <c r="W17">
        <v>27.774357083333332</v>
      </c>
      <c r="Y17" t="s">
        <v>27</v>
      </c>
      <c r="Z17">
        <v>449.65330208333341</v>
      </c>
      <c r="AB17" t="s">
        <v>27</v>
      </c>
      <c r="AC17">
        <v>16.754931249999998</v>
      </c>
      <c r="AE17" t="s">
        <v>27</v>
      </c>
      <c r="AF17">
        <v>3.8577504166666658</v>
      </c>
      <c r="AH17" t="s">
        <v>27</v>
      </c>
      <c r="AI17">
        <v>0.50929499999999994</v>
      </c>
      <c r="AK17" t="s">
        <v>27</v>
      </c>
      <c r="AL17">
        <v>2.5427499999999999E-2</v>
      </c>
    </row>
    <row r="18" spans="2:38">
      <c r="B18" t="s">
        <v>28</v>
      </c>
      <c r="C18">
        <v>352.05606583333338</v>
      </c>
      <c r="E18" t="s">
        <v>28</v>
      </c>
      <c r="F18">
        <v>317.87871999999999</v>
      </c>
      <c r="H18" t="s">
        <v>28</v>
      </c>
      <c r="I18">
        <v>30.510899166666661</v>
      </c>
      <c r="K18" t="s">
        <v>28</v>
      </c>
      <c r="L18">
        <v>3.6664470833333329</v>
      </c>
      <c r="O18" t="s">
        <v>28</v>
      </c>
      <c r="P18">
        <v>353.40794</v>
      </c>
      <c r="S18" t="s">
        <v>28</v>
      </c>
      <c r="T18">
        <v>321.51855041666659</v>
      </c>
      <c r="V18" t="s">
        <v>28</v>
      </c>
      <c r="W18">
        <v>31.889389999999999</v>
      </c>
      <c r="Y18" t="s">
        <v>28</v>
      </c>
      <c r="Z18">
        <v>482.80441458333331</v>
      </c>
      <c r="AB18" t="s">
        <v>28</v>
      </c>
      <c r="AC18">
        <v>17.224640833333329</v>
      </c>
      <c r="AE18" t="s">
        <v>28</v>
      </c>
      <c r="AF18">
        <v>4.1824979166666667</v>
      </c>
      <c r="AH18" t="s">
        <v>28</v>
      </c>
      <c r="AI18">
        <v>0.5</v>
      </c>
      <c r="AK18" t="s">
        <v>28</v>
      </c>
      <c r="AL18">
        <v>2.388333333333334E-2</v>
      </c>
    </row>
    <row r="19" spans="2:38">
      <c r="B19" t="s">
        <v>29</v>
      </c>
      <c r="C19">
        <v>351.04704708333338</v>
      </c>
      <c r="E19" t="s">
        <v>29</v>
      </c>
      <c r="F19">
        <v>317.6572175</v>
      </c>
      <c r="H19" t="s">
        <v>29</v>
      </c>
      <c r="I19">
        <v>29.373799999999999</v>
      </c>
      <c r="K19" t="s">
        <v>29</v>
      </c>
      <c r="L19">
        <v>4.0160287500000003</v>
      </c>
      <c r="O19" t="s">
        <v>29</v>
      </c>
      <c r="P19">
        <v>387.10413833333342</v>
      </c>
      <c r="S19" t="s">
        <v>29</v>
      </c>
      <c r="T19">
        <v>356.40322166666658</v>
      </c>
      <c r="V19" t="s">
        <v>29</v>
      </c>
      <c r="W19">
        <v>30.700917083333341</v>
      </c>
      <c r="Y19" t="s">
        <v>29</v>
      </c>
      <c r="Z19">
        <v>517.42998708333334</v>
      </c>
      <c r="AB19" t="s">
        <v>29</v>
      </c>
      <c r="AC19">
        <v>18.086288333333329</v>
      </c>
      <c r="AE19" t="s">
        <v>29</v>
      </c>
      <c r="AF19">
        <v>4.3358737500000002</v>
      </c>
      <c r="AH19" t="s">
        <v>29</v>
      </c>
      <c r="AI19">
        <v>0.46495708333333341</v>
      </c>
      <c r="AK19" t="s">
        <v>29</v>
      </c>
      <c r="AL19">
        <v>2.0619999999999999E-2</v>
      </c>
    </row>
    <row r="20" spans="2:38">
      <c r="B20" t="s">
        <v>30</v>
      </c>
      <c r="C20">
        <v>342.64604750000012</v>
      </c>
      <c r="E20" t="s">
        <v>30</v>
      </c>
      <c r="F20">
        <v>303.97451416666672</v>
      </c>
      <c r="H20" t="s">
        <v>30</v>
      </c>
      <c r="I20">
        <v>34.576199166666669</v>
      </c>
      <c r="K20" t="s">
        <v>30</v>
      </c>
      <c r="L20">
        <v>4.095332916666667</v>
      </c>
      <c r="O20" t="s">
        <v>30</v>
      </c>
      <c r="P20">
        <v>394.74824124999998</v>
      </c>
      <c r="S20" t="s">
        <v>30</v>
      </c>
      <c r="T20">
        <v>358.60987916666659</v>
      </c>
      <c r="V20" t="s">
        <v>30</v>
      </c>
      <c r="W20">
        <v>36.138361666666668</v>
      </c>
      <c r="Y20" t="s">
        <v>30</v>
      </c>
      <c r="Z20">
        <v>522.89067583333338</v>
      </c>
      <c r="AB20" t="s">
        <v>30</v>
      </c>
      <c r="AC20">
        <v>18.843928333333331</v>
      </c>
      <c r="AE20" t="s">
        <v>30</v>
      </c>
      <c r="AF20">
        <v>4.2760787499999999</v>
      </c>
      <c r="AH20" t="s">
        <v>30</v>
      </c>
      <c r="AI20">
        <v>0.43655791666666671</v>
      </c>
      <c r="AK20" t="s">
        <v>30</v>
      </c>
      <c r="AL20">
        <v>3.2453750000000003E-2</v>
      </c>
    </row>
    <row r="24" spans="2:38">
      <c r="B24" s="26" t="s">
        <v>31</v>
      </c>
      <c r="C24" s="26"/>
      <c r="D24" s="26"/>
    </row>
    <row r="25" spans="2:38">
      <c r="B25" s="26" t="s">
        <v>32</v>
      </c>
      <c r="C25" s="26"/>
      <c r="D25" s="26"/>
      <c r="E25" t="s">
        <v>33</v>
      </c>
    </row>
    <row r="26" spans="2:38">
      <c r="B26" s="9" t="s">
        <v>34</v>
      </c>
      <c r="C26" s="2">
        <v>0</v>
      </c>
      <c r="D26" s="2">
        <v>1</v>
      </c>
      <c r="E26" s="2">
        <v>2</v>
      </c>
      <c r="F26" s="2">
        <v>3</v>
      </c>
      <c r="G26" s="2">
        <v>4</v>
      </c>
      <c r="H26" s="2">
        <v>5</v>
      </c>
      <c r="I26" s="2">
        <v>6</v>
      </c>
      <c r="J26" s="2">
        <v>7</v>
      </c>
      <c r="K26" s="2">
        <v>8</v>
      </c>
      <c r="L26" s="2">
        <v>9</v>
      </c>
      <c r="M26" s="2">
        <v>10</v>
      </c>
      <c r="N26" s="2">
        <v>11</v>
      </c>
      <c r="O26" s="2">
        <v>12</v>
      </c>
      <c r="P26" s="2">
        <v>13</v>
      </c>
      <c r="Q26" s="2">
        <v>14</v>
      </c>
      <c r="R26" s="2">
        <v>15</v>
      </c>
      <c r="S26" s="2">
        <v>16</v>
      </c>
      <c r="T26" s="2">
        <v>17</v>
      </c>
      <c r="U26" s="2">
        <v>18</v>
      </c>
      <c r="V26" s="2">
        <v>19</v>
      </c>
      <c r="W26" s="2">
        <v>20</v>
      </c>
      <c r="X26" s="2">
        <v>21</v>
      </c>
      <c r="Y26" s="2">
        <v>22</v>
      </c>
      <c r="Z26" s="3">
        <v>23</v>
      </c>
    </row>
    <row r="27" spans="2:38">
      <c r="B27" s="4" t="s">
        <v>35</v>
      </c>
      <c r="C27" s="1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37.31</v>
      </c>
      <c r="K27" s="2">
        <v>270.89999999999998</v>
      </c>
      <c r="L27" s="2">
        <v>519.41</v>
      </c>
      <c r="M27" s="2">
        <v>730.49</v>
      </c>
      <c r="N27" s="2">
        <v>863.3</v>
      </c>
      <c r="O27" s="2">
        <v>931.94</v>
      </c>
      <c r="P27" s="2">
        <v>939.76</v>
      </c>
      <c r="Q27" s="2">
        <v>892.99</v>
      </c>
      <c r="R27" s="2">
        <v>766.79</v>
      </c>
      <c r="S27" s="2">
        <v>578.04</v>
      </c>
      <c r="T27" s="2">
        <v>340.63</v>
      </c>
      <c r="U27" s="2">
        <v>74</v>
      </c>
      <c r="V27" s="2">
        <v>0</v>
      </c>
      <c r="W27" s="2">
        <v>0</v>
      </c>
      <c r="X27" s="2">
        <v>0</v>
      </c>
      <c r="Y27" s="2">
        <v>0</v>
      </c>
      <c r="Z27" s="3">
        <v>0</v>
      </c>
    </row>
    <row r="28" spans="2:38">
      <c r="B28" s="4" t="s">
        <v>36</v>
      </c>
      <c r="C28" s="11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1.47</v>
      </c>
      <c r="J28">
        <v>15.62</v>
      </c>
      <c r="K28">
        <v>36.44</v>
      </c>
      <c r="L28">
        <v>49.76</v>
      </c>
      <c r="M28">
        <v>60.32</v>
      </c>
      <c r="N28">
        <v>80.52</v>
      </c>
      <c r="O28" s="16">
        <v>94.3</v>
      </c>
      <c r="P28">
        <v>93.95</v>
      </c>
      <c r="Q28">
        <v>80.569999999999993</v>
      </c>
      <c r="R28">
        <v>66.91</v>
      </c>
      <c r="S28">
        <v>52.48</v>
      </c>
      <c r="T28">
        <v>41.16</v>
      </c>
      <c r="U28">
        <v>21.49</v>
      </c>
      <c r="V28">
        <v>4.04</v>
      </c>
      <c r="W28">
        <v>0</v>
      </c>
      <c r="X28">
        <v>0</v>
      </c>
      <c r="Y28">
        <v>0</v>
      </c>
      <c r="Z28" s="5">
        <v>0</v>
      </c>
    </row>
    <row r="29" spans="2:38">
      <c r="B29" s="6" t="s">
        <v>37</v>
      </c>
      <c r="C29" s="12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0.03</v>
      </c>
      <c r="J29" s="7">
        <v>0.9</v>
      </c>
      <c r="K29" s="7">
        <v>3.09</v>
      </c>
      <c r="L29" s="7">
        <v>5.52</v>
      </c>
      <c r="M29" s="7">
        <v>7.62</v>
      </c>
      <c r="N29" s="7">
        <v>9.1</v>
      </c>
      <c r="O29" s="13">
        <v>9.9</v>
      </c>
      <c r="P29" s="7">
        <v>9.98</v>
      </c>
      <c r="Q29" s="7">
        <v>9.3800000000000008</v>
      </c>
      <c r="R29" s="7">
        <v>8.0399999999999991</v>
      </c>
      <c r="S29" s="7">
        <v>6.1</v>
      </c>
      <c r="T29" s="7">
        <v>3.75</v>
      </c>
      <c r="U29" s="7">
        <v>1.32</v>
      </c>
      <c r="V29" s="7">
        <v>0.13</v>
      </c>
      <c r="W29" s="7">
        <v>0</v>
      </c>
      <c r="X29" s="7">
        <v>0</v>
      </c>
      <c r="Y29" s="7">
        <v>0</v>
      </c>
      <c r="Z29" s="8">
        <v>0</v>
      </c>
    </row>
    <row r="30" spans="2:38">
      <c r="B30" s="6" t="s">
        <v>38</v>
      </c>
      <c r="C30" s="12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1.5</v>
      </c>
      <c r="J30" s="7">
        <v>53.83</v>
      </c>
      <c r="K30" s="7">
        <v>310.43</v>
      </c>
      <c r="L30" s="7">
        <v>574.69000000000005</v>
      </c>
      <c r="M30" s="7">
        <v>798.43</v>
      </c>
      <c r="N30" s="7">
        <v>952.92</v>
      </c>
      <c r="O30" s="13">
        <v>1036.1400000000001</v>
      </c>
      <c r="P30" s="7">
        <v>1043.69</v>
      </c>
      <c r="Q30" s="7">
        <v>982.94</v>
      </c>
      <c r="R30" s="7">
        <v>841.74</v>
      </c>
      <c r="S30" s="7">
        <v>636.62</v>
      </c>
      <c r="T30" s="7">
        <v>385.54</v>
      </c>
      <c r="U30" s="7">
        <v>96.81</v>
      </c>
      <c r="V30" s="7">
        <v>4.17</v>
      </c>
      <c r="W30" s="7">
        <v>0</v>
      </c>
      <c r="X30" s="7">
        <v>0</v>
      </c>
      <c r="Y30" s="7">
        <v>0</v>
      </c>
      <c r="Z30" s="8">
        <v>0</v>
      </c>
    </row>
    <row r="55" spans="2:26">
      <c r="B55" s="27" t="s">
        <v>39</v>
      </c>
      <c r="C55" s="28"/>
      <c r="D55" s="29"/>
    </row>
    <row r="56" spans="2:26">
      <c r="B56" s="30" t="s">
        <v>40</v>
      </c>
      <c r="C56" s="30"/>
      <c r="D56" s="30"/>
    </row>
    <row r="57" spans="2:26">
      <c r="B57" s="1" t="s">
        <v>41</v>
      </c>
      <c r="C57" s="1" t="s">
        <v>19</v>
      </c>
      <c r="D57" s="1" t="s">
        <v>20</v>
      </c>
      <c r="E57" s="1" t="s">
        <v>21</v>
      </c>
      <c r="F57" s="1" t="s">
        <v>22</v>
      </c>
      <c r="G57" s="1" t="s">
        <v>23</v>
      </c>
      <c r="H57" s="1" t="s">
        <v>24</v>
      </c>
      <c r="I57" s="1" t="s">
        <v>25</v>
      </c>
      <c r="J57" s="1" t="s">
        <v>26</v>
      </c>
      <c r="K57" s="1" t="s">
        <v>27</v>
      </c>
      <c r="L57" s="1" t="s">
        <v>28</v>
      </c>
      <c r="M57" s="1" t="s">
        <v>29</v>
      </c>
      <c r="N57" s="14" t="s">
        <v>30</v>
      </c>
    </row>
    <row r="58" spans="2:26">
      <c r="B58" s="6" t="s">
        <v>42</v>
      </c>
      <c r="C58" s="6">
        <v>19.5</v>
      </c>
      <c r="D58" s="6">
        <v>19.420000000000002</v>
      </c>
      <c r="E58" s="6">
        <v>18.68</v>
      </c>
      <c r="F58" s="6">
        <v>17.5</v>
      </c>
      <c r="G58" s="6">
        <v>16.5</v>
      </c>
      <c r="H58" s="6">
        <v>16.11</v>
      </c>
      <c r="I58" s="6">
        <v>15.06</v>
      </c>
      <c r="J58" s="6">
        <v>15.99</v>
      </c>
      <c r="K58" s="6">
        <v>16.75</v>
      </c>
      <c r="L58" s="6">
        <v>17.22</v>
      </c>
      <c r="M58" s="6">
        <v>18.09</v>
      </c>
      <c r="N58" s="10">
        <v>18.84</v>
      </c>
    </row>
    <row r="60" spans="2:26">
      <c r="B60" s="30" t="s">
        <v>43</v>
      </c>
      <c r="C60" s="30"/>
      <c r="D60" s="30"/>
    </row>
    <row r="61" spans="2:26">
      <c r="B61" s="14" t="s">
        <v>34</v>
      </c>
      <c r="C61" s="2">
        <v>0</v>
      </c>
      <c r="D61" s="14">
        <v>1</v>
      </c>
      <c r="E61" s="3">
        <v>2</v>
      </c>
      <c r="F61" s="3">
        <v>3</v>
      </c>
      <c r="G61" s="3">
        <v>4</v>
      </c>
      <c r="H61" s="3">
        <v>5</v>
      </c>
      <c r="I61" s="3">
        <v>6</v>
      </c>
      <c r="J61" s="3">
        <v>7</v>
      </c>
      <c r="K61" s="3">
        <v>8</v>
      </c>
      <c r="L61" s="3">
        <v>9</v>
      </c>
      <c r="M61" s="3">
        <v>10</v>
      </c>
      <c r="N61" s="3">
        <v>11</v>
      </c>
      <c r="O61" s="3">
        <v>12</v>
      </c>
      <c r="P61" s="3">
        <v>13</v>
      </c>
      <c r="Q61" s="3">
        <v>14</v>
      </c>
      <c r="R61" s="3">
        <v>15</v>
      </c>
      <c r="S61" s="3">
        <v>16</v>
      </c>
      <c r="T61" s="3">
        <v>17</v>
      </c>
      <c r="U61" s="3">
        <v>18</v>
      </c>
      <c r="V61" s="3">
        <v>19</v>
      </c>
      <c r="W61" s="3">
        <v>20</v>
      </c>
      <c r="X61" s="3">
        <v>21</v>
      </c>
      <c r="Y61" s="3">
        <v>22</v>
      </c>
      <c r="Z61" s="3">
        <v>23</v>
      </c>
    </row>
    <row r="62" spans="2:26">
      <c r="B62" s="15" t="s">
        <v>42</v>
      </c>
      <c r="C62" s="7">
        <v>11.94</v>
      </c>
      <c r="D62" s="10">
        <v>11.39</v>
      </c>
      <c r="E62" s="8">
        <v>11.03</v>
      </c>
      <c r="F62" s="8">
        <v>10.9</v>
      </c>
      <c r="G62" s="8">
        <v>10.99</v>
      </c>
      <c r="H62" s="8">
        <v>11.23</v>
      </c>
      <c r="I62" s="8">
        <v>12.43</v>
      </c>
      <c r="J62" s="8">
        <v>14.58</v>
      </c>
      <c r="K62" s="8">
        <v>17.079999999999998</v>
      </c>
      <c r="L62" s="8">
        <v>19.52</v>
      </c>
      <c r="M62" s="8">
        <v>21.78</v>
      </c>
      <c r="N62" s="8">
        <v>23.89</v>
      </c>
      <c r="O62" s="8">
        <v>25.69</v>
      </c>
      <c r="P62" s="8">
        <v>26.45</v>
      </c>
      <c r="Q62" s="8">
        <v>26.07</v>
      </c>
      <c r="R62" s="8">
        <v>25.16</v>
      </c>
      <c r="S62" s="8">
        <v>24.01</v>
      </c>
      <c r="T62" s="8">
        <v>22.22</v>
      </c>
      <c r="U62" s="8">
        <v>19.64</v>
      </c>
      <c r="V62" s="8">
        <v>17.190000000000001</v>
      </c>
      <c r="W62" s="8">
        <v>15.52</v>
      </c>
      <c r="X62" s="8">
        <v>14.3</v>
      </c>
      <c r="Y62" s="8">
        <v>13.42</v>
      </c>
      <c r="Z62" s="8">
        <v>12.65</v>
      </c>
    </row>
    <row r="65" spans="2:26">
      <c r="B65" s="31" t="s">
        <v>44</v>
      </c>
      <c r="C65" s="32"/>
      <c r="E65" s="25" t="s">
        <v>45</v>
      </c>
      <c r="F65" s="25"/>
      <c r="G65" s="25"/>
      <c r="H65" s="25"/>
      <c r="I65" s="25"/>
    </row>
    <row r="66" spans="2:26">
      <c r="B66" s="14" t="s">
        <v>34</v>
      </c>
      <c r="C66" s="2">
        <v>1.58</v>
      </c>
      <c r="D66" s="14">
        <v>1.58</v>
      </c>
      <c r="E66" s="3">
        <v>1.66</v>
      </c>
      <c r="F66" s="3">
        <v>1.77</v>
      </c>
      <c r="G66" s="3">
        <v>1.96</v>
      </c>
      <c r="H66" s="3">
        <v>2</v>
      </c>
      <c r="I66" s="3">
        <v>1.73</v>
      </c>
      <c r="J66" s="3">
        <v>1.52</v>
      </c>
      <c r="K66" s="3">
        <v>2.15</v>
      </c>
      <c r="L66" s="3">
        <v>3.66</v>
      </c>
      <c r="M66" s="3">
        <v>5.29</v>
      </c>
      <c r="N66" s="3">
        <v>6.59</v>
      </c>
      <c r="O66" s="3">
        <v>7.87</v>
      </c>
      <c r="P66" s="3">
        <v>9.16</v>
      </c>
      <c r="Q66" s="3">
        <v>10.17</v>
      </c>
      <c r="R66" s="3">
        <v>9.8000000000000007</v>
      </c>
      <c r="S66" s="3">
        <v>7.58</v>
      </c>
      <c r="T66" s="3">
        <v>4.33</v>
      </c>
      <c r="U66" s="3">
        <v>2.09</v>
      </c>
      <c r="V66" s="3">
        <v>1.66</v>
      </c>
      <c r="W66" s="3">
        <v>1.7</v>
      </c>
      <c r="X66" s="3">
        <v>1.57</v>
      </c>
      <c r="Y66" s="3">
        <v>1.6</v>
      </c>
      <c r="Z66" s="3">
        <v>1.56</v>
      </c>
    </row>
    <row r="67" spans="2:26">
      <c r="B67" s="15" t="s">
        <v>42</v>
      </c>
      <c r="C67" s="7">
        <v>11.94</v>
      </c>
      <c r="D67" s="10">
        <v>11.39</v>
      </c>
      <c r="E67" s="8">
        <v>11.03</v>
      </c>
      <c r="F67" s="8">
        <v>10.9</v>
      </c>
      <c r="G67" s="8">
        <v>10.99</v>
      </c>
      <c r="H67" s="8">
        <v>11.23</v>
      </c>
      <c r="I67" s="8">
        <v>12.43</v>
      </c>
      <c r="J67" s="8">
        <v>14.58</v>
      </c>
      <c r="K67" s="8">
        <v>17.079999999999998</v>
      </c>
      <c r="L67" s="8">
        <v>19.52</v>
      </c>
      <c r="M67" s="8">
        <v>21.78</v>
      </c>
      <c r="N67" s="8">
        <v>23.89</v>
      </c>
      <c r="O67" s="8">
        <v>25.69</v>
      </c>
      <c r="P67" s="8">
        <v>26.45</v>
      </c>
      <c r="Q67" s="8">
        <v>26.07</v>
      </c>
      <c r="R67" s="8">
        <v>25.16</v>
      </c>
      <c r="S67" s="8">
        <v>24.01</v>
      </c>
      <c r="T67" s="8">
        <v>22.22</v>
      </c>
      <c r="U67" s="8">
        <v>19.64</v>
      </c>
      <c r="V67" s="8">
        <v>17.190000000000001</v>
      </c>
      <c r="W67" s="8">
        <v>15.52</v>
      </c>
      <c r="X67" s="8">
        <v>14.3</v>
      </c>
      <c r="Y67" s="8">
        <v>13.42</v>
      </c>
      <c r="Z67" s="8">
        <v>12.65</v>
      </c>
    </row>
    <row r="70" spans="2:26">
      <c r="B70" s="26" t="s">
        <v>31</v>
      </c>
      <c r="C70" s="26"/>
      <c r="D70" s="26"/>
    </row>
    <row r="71" spans="2:26">
      <c r="B71" s="25" t="s">
        <v>32</v>
      </c>
      <c r="C71" s="25"/>
      <c r="D71" s="25"/>
      <c r="E71" t="s">
        <v>33</v>
      </c>
    </row>
    <row r="72" spans="2:26">
      <c r="B72" s="9" t="s">
        <v>34</v>
      </c>
      <c r="C72" s="2">
        <v>0</v>
      </c>
      <c r="D72" s="2">
        <v>1</v>
      </c>
      <c r="E72" s="2">
        <v>2</v>
      </c>
      <c r="F72" s="2">
        <v>3</v>
      </c>
      <c r="G72" s="2">
        <v>4</v>
      </c>
      <c r="H72" s="2">
        <v>5</v>
      </c>
      <c r="I72" s="2">
        <v>6</v>
      </c>
      <c r="J72" s="2">
        <v>7</v>
      </c>
      <c r="K72" s="2">
        <v>8</v>
      </c>
      <c r="L72" s="2">
        <v>9</v>
      </c>
      <c r="M72" s="2">
        <v>10</v>
      </c>
      <c r="N72" s="2">
        <v>11</v>
      </c>
      <c r="O72" s="2">
        <v>12</v>
      </c>
      <c r="P72" s="2">
        <v>13</v>
      </c>
      <c r="Q72" s="2">
        <v>14</v>
      </c>
      <c r="R72" s="2">
        <v>15</v>
      </c>
      <c r="S72" s="2">
        <v>16</v>
      </c>
      <c r="T72" s="2">
        <v>17</v>
      </c>
      <c r="U72" s="2">
        <v>18</v>
      </c>
      <c r="V72" s="2">
        <v>19</v>
      </c>
      <c r="W72" s="2">
        <v>20</v>
      </c>
      <c r="X72" s="2">
        <v>21</v>
      </c>
      <c r="Y72" s="2">
        <v>22</v>
      </c>
      <c r="Z72" s="3">
        <v>23</v>
      </c>
    </row>
    <row r="73" spans="2:26">
      <c r="B73" s="4" t="s">
        <v>19</v>
      </c>
      <c r="C73" s="1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67</v>
      </c>
      <c r="K73" s="2">
        <v>311</v>
      </c>
      <c r="L73" s="2">
        <v>566</v>
      </c>
      <c r="M73" s="2">
        <v>792</v>
      </c>
      <c r="N73" s="2">
        <v>963</v>
      </c>
      <c r="O73" s="2">
        <v>1065</v>
      </c>
      <c r="P73" s="2">
        <v>1081</v>
      </c>
      <c r="Q73" s="2">
        <v>1029</v>
      </c>
      <c r="R73" s="2">
        <v>897</v>
      </c>
      <c r="S73" s="2">
        <v>704</v>
      </c>
      <c r="T73" s="2">
        <v>460</v>
      </c>
      <c r="U73" s="2">
        <v>204</v>
      </c>
      <c r="V73" s="2">
        <v>20</v>
      </c>
      <c r="W73" s="2">
        <v>0</v>
      </c>
      <c r="X73" s="2">
        <v>0</v>
      </c>
      <c r="Y73" s="2">
        <v>0</v>
      </c>
      <c r="Z73" s="3">
        <v>0</v>
      </c>
    </row>
    <row r="74" spans="2:26">
      <c r="B74" s="6" t="s">
        <v>25</v>
      </c>
      <c r="C74" s="12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207</v>
      </c>
      <c r="L74" s="7">
        <v>469</v>
      </c>
      <c r="M74" s="7">
        <v>689</v>
      </c>
      <c r="N74" s="7">
        <v>826</v>
      </c>
      <c r="O74" s="13">
        <v>901</v>
      </c>
      <c r="P74" s="7">
        <v>904</v>
      </c>
      <c r="Q74" s="7">
        <v>861</v>
      </c>
      <c r="R74" s="7">
        <v>752</v>
      </c>
      <c r="S74" s="7">
        <v>567</v>
      </c>
      <c r="T74" s="7">
        <v>336</v>
      </c>
      <c r="U74" s="7">
        <v>5</v>
      </c>
      <c r="V74" s="7">
        <v>0</v>
      </c>
      <c r="W74" s="7">
        <v>0</v>
      </c>
      <c r="X74" s="7">
        <v>0</v>
      </c>
      <c r="Y74" s="7">
        <v>0</v>
      </c>
      <c r="Z74" s="8">
        <v>0</v>
      </c>
    </row>
    <row r="77" spans="2:26">
      <c r="B77" s="25" t="s">
        <v>46</v>
      </c>
      <c r="C77" s="25"/>
      <c r="D77" s="25"/>
      <c r="E77" t="s">
        <v>47</v>
      </c>
    </row>
    <row r="78" spans="2:26">
      <c r="B78" s="9" t="s">
        <v>34</v>
      </c>
      <c r="C78" s="2">
        <v>0</v>
      </c>
      <c r="D78" s="2">
        <v>1</v>
      </c>
      <c r="E78" s="2">
        <v>2</v>
      </c>
      <c r="F78" s="2">
        <v>3</v>
      </c>
      <c r="G78" s="2">
        <v>4</v>
      </c>
      <c r="H78" s="2">
        <v>5</v>
      </c>
      <c r="I78" s="2">
        <v>6</v>
      </c>
      <c r="J78" s="2">
        <v>7</v>
      </c>
      <c r="K78" s="2">
        <v>8</v>
      </c>
      <c r="L78" s="2">
        <v>9</v>
      </c>
      <c r="M78" s="2">
        <v>10</v>
      </c>
      <c r="N78" s="2">
        <v>11</v>
      </c>
      <c r="O78" s="2">
        <v>12</v>
      </c>
      <c r="P78" s="2">
        <v>13</v>
      </c>
      <c r="Q78" s="2">
        <v>14</v>
      </c>
      <c r="R78" s="2">
        <v>15</v>
      </c>
      <c r="S78" s="2">
        <v>16</v>
      </c>
      <c r="T78" s="2">
        <v>17</v>
      </c>
      <c r="U78" s="2">
        <v>18</v>
      </c>
      <c r="V78" s="2">
        <v>19</v>
      </c>
      <c r="W78" s="2">
        <v>20</v>
      </c>
      <c r="X78" s="2">
        <v>21</v>
      </c>
      <c r="Y78" s="2">
        <v>22</v>
      </c>
      <c r="Z78" s="3">
        <v>23</v>
      </c>
    </row>
    <row r="79" spans="2:26">
      <c r="B79" s="4" t="s">
        <v>19</v>
      </c>
      <c r="C79" s="1">
        <v>14</v>
      </c>
      <c r="D79" s="2">
        <v>13</v>
      </c>
      <c r="E79" s="2">
        <v>13</v>
      </c>
      <c r="F79" s="2">
        <v>12</v>
      </c>
      <c r="G79" s="2">
        <v>13</v>
      </c>
      <c r="H79" s="2">
        <v>13</v>
      </c>
      <c r="I79" s="2">
        <v>15</v>
      </c>
      <c r="J79" s="2">
        <v>17</v>
      </c>
      <c r="K79" s="2">
        <v>20</v>
      </c>
      <c r="L79" s="2">
        <v>22</v>
      </c>
      <c r="M79" s="2">
        <v>24</v>
      </c>
      <c r="N79" s="2">
        <v>26</v>
      </c>
      <c r="O79" s="2">
        <v>28</v>
      </c>
      <c r="P79" s="2">
        <v>28</v>
      </c>
      <c r="Q79" s="2">
        <v>27</v>
      </c>
      <c r="R79" s="2">
        <v>27</v>
      </c>
      <c r="S79" s="2">
        <v>26</v>
      </c>
      <c r="T79" s="2">
        <v>25</v>
      </c>
      <c r="U79" s="2">
        <v>23</v>
      </c>
      <c r="V79" s="2">
        <v>20</v>
      </c>
      <c r="W79" s="2">
        <v>18</v>
      </c>
      <c r="X79" s="2">
        <v>16</v>
      </c>
      <c r="Y79" s="2">
        <v>15</v>
      </c>
      <c r="Z79" s="3">
        <v>14</v>
      </c>
    </row>
    <row r="80" spans="2:26">
      <c r="B80" s="6" t="s">
        <v>25</v>
      </c>
      <c r="C80" s="12">
        <v>10</v>
      </c>
      <c r="D80" s="7">
        <v>10</v>
      </c>
      <c r="E80" s="7">
        <v>10</v>
      </c>
      <c r="F80" s="7">
        <v>10</v>
      </c>
      <c r="G80" s="7">
        <v>10</v>
      </c>
      <c r="H80" s="7">
        <v>10</v>
      </c>
      <c r="I80" s="7">
        <v>11</v>
      </c>
      <c r="J80" s="7">
        <v>12</v>
      </c>
      <c r="K80" s="7">
        <v>14</v>
      </c>
      <c r="L80" s="7">
        <v>16</v>
      </c>
      <c r="M80" s="7">
        <v>18</v>
      </c>
      <c r="N80" s="7">
        <v>20</v>
      </c>
      <c r="O80" s="13">
        <v>22</v>
      </c>
      <c r="P80" s="7">
        <v>24</v>
      </c>
      <c r="Q80" s="7">
        <v>24</v>
      </c>
      <c r="R80" s="7">
        <v>23</v>
      </c>
      <c r="S80" s="7">
        <v>21</v>
      </c>
      <c r="T80" s="7">
        <v>18</v>
      </c>
      <c r="U80" s="7">
        <v>16</v>
      </c>
      <c r="V80" s="7">
        <v>14</v>
      </c>
      <c r="W80" s="7">
        <v>13</v>
      </c>
      <c r="X80" s="7">
        <v>12</v>
      </c>
      <c r="Y80" s="7">
        <v>11</v>
      </c>
      <c r="Z80" s="8">
        <v>11</v>
      </c>
    </row>
    <row r="83" spans="2:26">
      <c r="B83" s="25" t="s">
        <v>48</v>
      </c>
      <c r="C83" s="25"/>
      <c r="D83" s="25"/>
      <c r="E83" t="s">
        <v>49</v>
      </c>
    </row>
    <row r="84" spans="2:26">
      <c r="B84" s="9" t="s">
        <v>34</v>
      </c>
      <c r="C84" s="2">
        <v>0</v>
      </c>
      <c r="D84" s="2">
        <v>1</v>
      </c>
      <c r="E84" s="2">
        <v>2</v>
      </c>
      <c r="F84" s="2">
        <v>3</v>
      </c>
      <c r="G84" s="2">
        <v>4</v>
      </c>
      <c r="H84" s="2">
        <v>5</v>
      </c>
      <c r="I84" s="2">
        <v>6</v>
      </c>
      <c r="J84" s="2">
        <v>7</v>
      </c>
      <c r="K84" s="2">
        <v>8</v>
      </c>
      <c r="L84" s="2">
        <v>9</v>
      </c>
      <c r="M84" s="2">
        <v>10</v>
      </c>
      <c r="N84" s="2">
        <v>11</v>
      </c>
      <c r="O84" s="2">
        <v>12</v>
      </c>
      <c r="P84" s="2">
        <v>13</v>
      </c>
      <c r="Q84" s="2">
        <v>14</v>
      </c>
      <c r="R84" s="2">
        <v>15</v>
      </c>
      <c r="S84" s="2">
        <v>16</v>
      </c>
      <c r="T84" s="2">
        <v>17</v>
      </c>
      <c r="U84" s="2">
        <v>18</v>
      </c>
      <c r="V84" s="2">
        <v>19</v>
      </c>
      <c r="W84" s="2">
        <v>20</v>
      </c>
      <c r="X84" s="2">
        <v>21</v>
      </c>
      <c r="Y84" s="2">
        <v>22</v>
      </c>
      <c r="Z84" s="3">
        <v>23</v>
      </c>
    </row>
    <row r="85" spans="2:26">
      <c r="B85" s="4" t="s">
        <v>19</v>
      </c>
      <c r="C85" s="1">
        <v>1</v>
      </c>
      <c r="D85" s="2">
        <v>1</v>
      </c>
      <c r="E85" s="2">
        <v>1</v>
      </c>
      <c r="F85" s="2">
        <v>1</v>
      </c>
      <c r="G85" s="2">
        <v>2</v>
      </c>
      <c r="H85" s="2">
        <v>2</v>
      </c>
      <c r="I85" s="2">
        <v>1</v>
      </c>
      <c r="J85" s="2">
        <v>1</v>
      </c>
      <c r="K85" s="2">
        <v>3</v>
      </c>
      <c r="L85" s="2">
        <v>5</v>
      </c>
      <c r="M85" s="2">
        <v>7</v>
      </c>
      <c r="N85" s="2">
        <v>8</v>
      </c>
      <c r="O85" s="2">
        <v>9</v>
      </c>
      <c r="P85" s="2">
        <v>11</v>
      </c>
      <c r="Q85" s="2">
        <v>13</v>
      </c>
      <c r="R85" s="2">
        <v>12</v>
      </c>
      <c r="S85" s="2">
        <v>10</v>
      </c>
      <c r="T85" s="2">
        <v>6</v>
      </c>
      <c r="U85" s="2">
        <v>3</v>
      </c>
      <c r="V85" s="2">
        <v>2</v>
      </c>
      <c r="W85" s="2">
        <v>2</v>
      </c>
      <c r="X85" s="2">
        <v>1</v>
      </c>
      <c r="Y85" s="2">
        <v>1</v>
      </c>
      <c r="Z85" s="3">
        <v>1</v>
      </c>
    </row>
    <row r="86" spans="2:26">
      <c r="B86" s="6" t="s">
        <v>25</v>
      </c>
      <c r="C86" s="12">
        <v>2</v>
      </c>
      <c r="D86" s="7">
        <v>2</v>
      </c>
      <c r="E86" s="7">
        <v>2</v>
      </c>
      <c r="F86" s="7">
        <v>2</v>
      </c>
      <c r="G86" s="7">
        <v>2</v>
      </c>
      <c r="H86" s="7">
        <v>2</v>
      </c>
      <c r="I86" s="7">
        <v>2</v>
      </c>
      <c r="J86" s="7">
        <v>2</v>
      </c>
      <c r="K86" s="7">
        <v>2</v>
      </c>
      <c r="L86" s="7">
        <v>2</v>
      </c>
      <c r="M86" s="7">
        <v>3</v>
      </c>
      <c r="N86" s="7">
        <v>4</v>
      </c>
      <c r="O86" s="13">
        <v>6</v>
      </c>
      <c r="P86" s="7">
        <v>6</v>
      </c>
      <c r="Q86" s="7">
        <v>7</v>
      </c>
      <c r="R86" s="7">
        <v>6</v>
      </c>
      <c r="S86" s="7">
        <v>4</v>
      </c>
      <c r="T86" s="7">
        <v>2</v>
      </c>
      <c r="U86" s="7">
        <v>1</v>
      </c>
      <c r="V86" s="7">
        <v>2</v>
      </c>
      <c r="W86" s="7">
        <v>2</v>
      </c>
      <c r="X86" s="7">
        <v>2</v>
      </c>
      <c r="Y86" s="7">
        <v>2</v>
      </c>
      <c r="Z86" s="8">
        <v>2</v>
      </c>
    </row>
  </sheetData>
  <mergeCells count="13">
    <mergeCell ref="E65:I65"/>
    <mergeCell ref="B83:D83"/>
    <mergeCell ref="B77:D77"/>
    <mergeCell ref="B71:D71"/>
    <mergeCell ref="B2:E2"/>
    <mergeCell ref="B3:F3"/>
    <mergeCell ref="B25:D25"/>
    <mergeCell ref="B24:D24"/>
    <mergeCell ref="B55:D55"/>
    <mergeCell ref="B70:D70"/>
    <mergeCell ref="B56:D56"/>
    <mergeCell ref="B60:D60"/>
    <mergeCell ref="B65:C6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F094-453B-4F02-983F-6A9D6585708D}">
  <dimension ref="A1:D25"/>
  <sheetViews>
    <sheetView workbookViewId="0">
      <selection activeCell="A2" sqref="A2"/>
    </sheetView>
  </sheetViews>
  <sheetFormatPr defaultRowHeight="15"/>
  <cols>
    <col min="1" max="1" width="14.140625" customWidth="1"/>
    <col min="2" max="2" width="24.140625" customWidth="1"/>
    <col min="3" max="3" width="23" customWidth="1"/>
    <col min="4" max="4" width="22.140625" customWidth="1"/>
  </cols>
  <sheetData>
    <row r="1" spans="1:4">
      <c r="A1" s="17" t="s">
        <v>50</v>
      </c>
      <c r="B1" s="17" t="s">
        <v>51</v>
      </c>
      <c r="C1" s="9" t="s">
        <v>52</v>
      </c>
      <c r="D1" s="19" t="s">
        <v>53</v>
      </c>
    </row>
    <row r="2" spans="1:4">
      <c r="A2" s="4">
        <v>0</v>
      </c>
      <c r="B2" s="4">
        <v>14</v>
      </c>
      <c r="C2" s="20">
        <v>1</v>
      </c>
      <c r="D2" s="5">
        <v>0</v>
      </c>
    </row>
    <row r="3" spans="1:4">
      <c r="A3" s="4">
        <v>1</v>
      </c>
      <c r="B3" s="4">
        <v>13</v>
      </c>
      <c r="C3" s="20">
        <v>1</v>
      </c>
      <c r="D3" s="5">
        <v>0</v>
      </c>
    </row>
    <row r="4" spans="1:4">
      <c r="A4" s="4">
        <v>2</v>
      </c>
      <c r="B4" s="4">
        <v>13</v>
      </c>
      <c r="C4" s="20">
        <v>1</v>
      </c>
      <c r="D4" s="5">
        <v>0</v>
      </c>
    </row>
    <row r="5" spans="1:4">
      <c r="A5" s="4">
        <v>3</v>
      </c>
      <c r="B5" s="4">
        <v>12</v>
      </c>
      <c r="C5" s="20">
        <v>1</v>
      </c>
      <c r="D5" s="5">
        <v>0</v>
      </c>
    </row>
    <row r="6" spans="1:4">
      <c r="A6" s="4">
        <v>4</v>
      </c>
      <c r="B6" s="4">
        <v>13</v>
      </c>
      <c r="C6" s="20">
        <v>2</v>
      </c>
      <c r="D6" s="5">
        <v>0</v>
      </c>
    </row>
    <row r="7" spans="1:4">
      <c r="A7" s="4">
        <v>5</v>
      </c>
      <c r="B7" s="4">
        <v>13</v>
      </c>
      <c r="C7" s="20">
        <v>2</v>
      </c>
      <c r="D7" s="5">
        <v>0</v>
      </c>
    </row>
    <row r="8" spans="1:4">
      <c r="A8" s="4">
        <v>6</v>
      </c>
      <c r="B8" s="4">
        <v>15</v>
      </c>
      <c r="C8" s="20">
        <v>1</v>
      </c>
      <c r="D8" s="5">
        <v>0</v>
      </c>
    </row>
    <row r="9" spans="1:4">
      <c r="A9" s="4">
        <v>7</v>
      </c>
      <c r="B9" s="4">
        <v>17</v>
      </c>
      <c r="C9" s="20">
        <v>1</v>
      </c>
      <c r="D9" s="5">
        <v>67</v>
      </c>
    </row>
    <row r="10" spans="1:4">
      <c r="A10" s="4">
        <v>8</v>
      </c>
      <c r="B10" s="4">
        <v>20</v>
      </c>
      <c r="C10" s="20">
        <v>3</v>
      </c>
      <c r="D10" s="5">
        <v>311</v>
      </c>
    </row>
    <row r="11" spans="1:4">
      <c r="A11" s="4">
        <v>9</v>
      </c>
      <c r="B11" s="4">
        <v>22</v>
      </c>
      <c r="C11" s="20">
        <v>5</v>
      </c>
      <c r="D11" s="5">
        <v>566</v>
      </c>
    </row>
    <row r="12" spans="1:4">
      <c r="A12" s="4">
        <v>10</v>
      </c>
      <c r="B12" s="4">
        <v>24</v>
      </c>
      <c r="C12" s="20">
        <v>7</v>
      </c>
      <c r="D12" s="5">
        <v>792</v>
      </c>
    </row>
    <row r="13" spans="1:4">
      <c r="A13" s="4">
        <v>11</v>
      </c>
      <c r="B13" s="4">
        <v>26</v>
      </c>
      <c r="C13" s="20">
        <v>8</v>
      </c>
      <c r="D13" s="5">
        <v>963</v>
      </c>
    </row>
    <row r="14" spans="1:4">
      <c r="A14" s="4">
        <v>12</v>
      </c>
      <c r="B14" s="4">
        <v>28</v>
      </c>
      <c r="C14" s="20">
        <v>9</v>
      </c>
      <c r="D14" s="5">
        <v>1065</v>
      </c>
    </row>
    <row r="15" spans="1:4">
      <c r="A15" s="4">
        <v>13</v>
      </c>
      <c r="B15" s="4">
        <v>28</v>
      </c>
      <c r="C15" s="20">
        <v>11</v>
      </c>
      <c r="D15" s="5">
        <v>1081</v>
      </c>
    </row>
    <row r="16" spans="1:4">
      <c r="A16" s="4">
        <v>14</v>
      </c>
      <c r="B16" s="4">
        <v>27</v>
      </c>
      <c r="C16" s="20">
        <v>13</v>
      </c>
      <c r="D16" s="5">
        <v>1029</v>
      </c>
    </row>
    <row r="17" spans="1:4">
      <c r="A17" s="4">
        <v>15</v>
      </c>
      <c r="B17" s="4">
        <v>27</v>
      </c>
      <c r="C17" s="20">
        <v>12</v>
      </c>
      <c r="D17" s="5">
        <v>897</v>
      </c>
    </row>
    <row r="18" spans="1:4">
      <c r="A18" s="4">
        <v>16</v>
      </c>
      <c r="B18" s="4">
        <v>26</v>
      </c>
      <c r="C18" s="20">
        <v>10</v>
      </c>
      <c r="D18" s="5">
        <v>704</v>
      </c>
    </row>
    <row r="19" spans="1:4">
      <c r="A19" s="4">
        <v>17</v>
      </c>
      <c r="B19" s="4">
        <v>25</v>
      </c>
      <c r="C19" s="20">
        <v>6</v>
      </c>
      <c r="D19" s="5">
        <v>460</v>
      </c>
    </row>
    <row r="20" spans="1:4">
      <c r="A20" s="4">
        <v>18</v>
      </c>
      <c r="B20" s="4">
        <v>23</v>
      </c>
      <c r="C20" s="20">
        <v>3</v>
      </c>
      <c r="D20" s="5">
        <v>204</v>
      </c>
    </row>
    <row r="21" spans="1:4">
      <c r="A21" s="4">
        <v>19</v>
      </c>
      <c r="B21" s="4">
        <v>20</v>
      </c>
      <c r="C21" s="20">
        <v>2</v>
      </c>
      <c r="D21" s="5">
        <v>20</v>
      </c>
    </row>
    <row r="22" spans="1:4">
      <c r="A22" s="4">
        <v>20</v>
      </c>
      <c r="B22" s="4">
        <v>18</v>
      </c>
      <c r="C22" s="20">
        <v>2</v>
      </c>
      <c r="D22" s="5">
        <v>0</v>
      </c>
    </row>
    <row r="23" spans="1:4">
      <c r="A23" s="4">
        <v>21</v>
      </c>
      <c r="B23" s="4">
        <v>16</v>
      </c>
      <c r="C23" s="20">
        <v>1</v>
      </c>
      <c r="D23" s="5">
        <v>0</v>
      </c>
    </row>
    <row r="24" spans="1:4">
      <c r="A24" s="4">
        <v>22</v>
      </c>
      <c r="B24" s="4">
        <v>15</v>
      </c>
      <c r="C24" s="20">
        <v>1</v>
      </c>
      <c r="D24" s="5">
        <v>0</v>
      </c>
    </row>
    <row r="25" spans="1:4">
      <c r="A25" s="6">
        <v>23</v>
      </c>
      <c r="B25" s="6">
        <v>14</v>
      </c>
      <c r="C25" s="10">
        <v>1</v>
      </c>
      <c r="D25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7625-1684-41C2-B9E9-816F91780D6D}">
  <dimension ref="A1:D25"/>
  <sheetViews>
    <sheetView workbookViewId="0">
      <selection activeCell="A2" sqref="A2"/>
    </sheetView>
  </sheetViews>
  <sheetFormatPr defaultRowHeight="15"/>
  <cols>
    <col min="1" max="1" width="13.5703125" customWidth="1"/>
    <col min="2" max="2" width="24.28515625" customWidth="1"/>
    <col min="3" max="3" width="23" customWidth="1"/>
    <col min="4" max="4" width="22.5703125" customWidth="1"/>
  </cols>
  <sheetData>
    <row r="1" spans="1:4">
      <c r="A1" s="17" t="s">
        <v>50</v>
      </c>
      <c r="B1" s="9" t="s">
        <v>51</v>
      </c>
      <c r="C1" s="18" t="s">
        <v>52</v>
      </c>
      <c r="D1" s="9" t="s">
        <v>53</v>
      </c>
    </row>
    <row r="2" spans="1:4">
      <c r="A2" s="4">
        <v>0</v>
      </c>
      <c r="B2" s="20">
        <v>10</v>
      </c>
      <c r="C2">
        <v>2</v>
      </c>
      <c r="D2" s="20">
        <v>0</v>
      </c>
    </row>
    <row r="3" spans="1:4">
      <c r="A3" s="4">
        <v>1</v>
      </c>
      <c r="B3" s="20">
        <v>10</v>
      </c>
      <c r="C3">
        <v>2</v>
      </c>
      <c r="D3" s="20">
        <v>0</v>
      </c>
    </row>
    <row r="4" spans="1:4">
      <c r="A4" s="4">
        <v>2</v>
      </c>
      <c r="B4" s="20">
        <v>10</v>
      </c>
      <c r="C4">
        <v>2</v>
      </c>
      <c r="D4" s="20">
        <v>0</v>
      </c>
    </row>
    <row r="5" spans="1:4">
      <c r="A5" s="4">
        <v>3</v>
      </c>
      <c r="B5" s="20">
        <v>10</v>
      </c>
      <c r="C5">
        <v>2</v>
      </c>
      <c r="D5" s="20">
        <v>0</v>
      </c>
    </row>
    <row r="6" spans="1:4">
      <c r="A6" s="4">
        <v>4</v>
      </c>
      <c r="B6" s="20">
        <v>10</v>
      </c>
      <c r="C6">
        <v>2</v>
      </c>
      <c r="D6" s="20">
        <v>0</v>
      </c>
    </row>
    <row r="7" spans="1:4">
      <c r="A7" s="4">
        <v>5</v>
      </c>
      <c r="B7" s="20">
        <v>10</v>
      </c>
      <c r="C7">
        <v>2</v>
      </c>
      <c r="D7" s="20">
        <v>0</v>
      </c>
    </row>
    <row r="8" spans="1:4">
      <c r="A8" s="4">
        <v>6</v>
      </c>
      <c r="B8" s="20">
        <v>11</v>
      </c>
      <c r="C8">
        <v>2</v>
      </c>
      <c r="D8" s="20">
        <v>0</v>
      </c>
    </row>
    <row r="9" spans="1:4">
      <c r="A9" s="4">
        <v>7</v>
      </c>
      <c r="B9" s="20">
        <v>12</v>
      </c>
      <c r="C9">
        <v>2</v>
      </c>
      <c r="D9" s="20">
        <v>0</v>
      </c>
    </row>
    <row r="10" spans="1:4">
      <c r="A10" s="4">
        <v>8</v>
      </c>
      <c r="B10" s="20">
        <v>14</v>
      </c>
      <c r="C10">
        <v>2</v>
      </c>
      <c r="D10" s="20">
        <v>207</v>
      </c>
    </row>
    <row r="11" spans="1:4">
      <c r="A11" s="4">
        <v>9</v>
      </c>
      <c r="B11" s="20">
        <v>16</v>
      </c>
      <c r="C11">
        <v>2</v>
      </c>
      <c r="D11" s="20">
        <v>469</v>
      </c>
    </row>
    <row r="12" spans="1:4">
      <c r="A12" s="4">
        <v>10</v>
      </c>
      <c r="B12" s="20">
        <v>18</v>
      </c>
      <c r="C12">
        <v>3</v>
      </c>
      <c r="D12" s="20">
        <v>689</v>
      </c>
    </row>
    <row r="13" spans="1:4">
      <c r="A13" s="4">
        <v>11</v>
      </c>
      <c r="B13" s="20">
        <v>20</v>
      </c>
      <c r="C13">
        <v>4</v>
      </c>
      <c r="D13" s="20">
        <v>826</v>
      </c>
    </row>
    <row r="14" spans="1:4">
      <c r="A14" s="4">
        <v>12</v>
      </c>
      <c r="B14" s="20">
        <v>22</v>
      </c>
      <c r="C14">
        <v>6</v>
      </c>
      <c r="D14" s="20">
        <v>901</v>
      </c>
    </row>
    <row r="15" spans="1:4">
      <c r="A15" s="4">
        <v>13</v>
      </c>
      <c r="B15" s="20">
        <v>24</v>
      </c>
      <c r="C15">
        <v>6</v>
      </c>
      <c r="D15" s="20">
        <v>904</v>
      </c>
    </row>
    <row r="16" spans="1:4">
      <c r="A16" s="4">
        <v>14</v>
      </c>
      <c r="B16" s="20">
        <v>24</v>
      </c>
      <c r="C16">
        <v>7</v>
      </c>
      <c r="D16" s="20">
        <v>861</v>
      </c>
    </row>
    <row r="17" spans="1:4">
      <c r="A17" s="4">
        <v>15</v>
      </c>
      <c r="B17" s="20">
        <v>23</v>
      </c>
      <c r="C17">
        <v>6</v>
      </c>
      <c r="D17" s="20">
        <v>752</v>
      </c>
    </row>
    <row r="18" spans="1:4">
      <c r="A18" s="4">
        <v>16</v>
      </c>
      <c r="B18" s="20">
        <v>21</v>
      </c>
      <c r="C18">
        <v>4</v>
      </c>
      <c r="D18" s="20">
        <v>567</v>
      </c>
    </row>
    <row r="19" spans="1:4">
      <c r="A19" s="4">
        <v>17</v>
      </c>
      <c r="B19" s="20">
        <v>18</v>
      </c>
      <c r="C19">
        <v>2</v>
      </c>
      <c r="D19" s="20">
        <v>336</v>
      </c>
    </row>
    <row r="20" spans="1:4">
      <c r="A20" s="4">
        <v>18</v>
      </c>
      <c r="B20" s="20">
        <v>16</v>
      </c>
      <c r="C20">
        <v>1</v>
      </c>
      <c r="D20" s="20">
        <v>5</v>
      </c>
    </row>
    <row r="21" spans="1:4">
      <c r="A21" s="4">
        <v>19</v>
      </c>
      <c r="B21" s="20">
        <v>14</v>
      </c>
      <c r="C21">
        <v>2</v>
      </c>
      <c r="D21" s="20">
        <v>0</v>
      </c>
    </row>
    <row r="22" spans="1:4">
      <c r="A22" s="4">
        <v>20</v>
      </c>
      <c r="B22" s="20">
        <v>13</v>
      </c>
      <c r="C22">
        <v>2</v>
      </c>
      <c r="D22" s="20">
        <v>0</v>
      </c>
    </row>
    <row r="23" spans="1:4">
      <c r="A23" s="4">
        <v>21</v>
      </c>
      <c r="B23" s="20">
        <v>12</v>
      </c>
      <c r="C23">
        <v>2</v>
      </c>
      <c r="D23" s="20">
        <v>0</v>
      </c>
    </row>
    <row r="24" spans="1:4">
      <c r="A24" s="4">
        <v>22</v>
      </c>
      <c r="B24" s="20">
        <v>11</v>
      </c>
      <c r="C24">
        <v>2</v>
      </c>
      <c r="D24" s="20">
        <v>0</v>
      </c>
    </row>
    <row r="25" spans="1:4">
      <c r="A25" s="6">
        <v>23</v>
      </c>
      <c r="B25" s="10">
        <v>11</v>
      </c>
      <c r="C25" s="7">
        <v>2</v>
      </c>
      <c r="D25" s="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E682E-7FAE-432A-A7D1-18C29B5EFA21}">
  <dimension ref="A1:N1442"/>
  <sheetViews>
    <sheetView workbookViewId="0">
      <selection activeCell="H19" sqref="H19"/>
    </sheetView>
  </sheetViews>
  <sheetFormatPr defaultRowHeight="15"/>
  <cols>
    <col min="1" max="1" width="16.85546875" customWidth="1"/>
    <col min="2" max="2" width="24.140625" customWidth="1"/>
    <col min="3" max="3" width="22.5703125" customWidth="1"/>
    <col min="4" max="4" width="22.42578125" customWidth="1"/>
  </cols>
  <sheetData>
    <row r="1" spans="1:14">
      <c r="A1" s="17" t="s">
        <v>54</v>
      </c>
      <c r="B1" s="17" t="s">
        <v>51</v>
      </c>
      <c r="C1" s="9" t="s">
        <v>52</v>
      </c>
      <c r="D1" s="19" t="s">
        <v>53</v>
      </c>
      <c r="J1" s="31" t="s">
        <v>55</v>
      </c>
      <c r="K1" s="33"/>
      <c r="L1" s="33"/>
      <c r="M1" s="33"/>
      <c r="N1" s="32"/>
    </row>
    <row r="2" spans="1:14">
      <c r="A2" s="4">
        <v>0</v>
      </c>
      <c r="B2" s="4">
        <v>14</v>
      </c>
      <c r="C2" s="20">
        <v>1</v>
      </c>
      <c r="D2" s="5">
        <v>0</v>
      </c>
      <c r="J2" s="4">
        <v>0</v>
      </c>
      <c r="K2" s="4">
        <f>60*J2</f>
        <v>0</v>
      </c>
      <c r="L2" s="4">
        <v>14</v>
      </c>
      <c r="M2" s="20">
        <v>1</v>
      </c>
      <c r="N2" s="5">
        <v>0</v>
      </c>
    </row>
    <row r="3" spans="1:14">
      <c r="A3" s="4">
        <v>1</v>
      </c>
      <c r="B3" s="24">
        <f>$B$2+($B$62-$B$2)*(A3-$A$2)/($A$62-$A$2)</f>
        <v>13.983333333333333</v>
      </c>
      <c r="C3" s="20">
        <v>1</v>
      </c>
      <c r="D3" s="5">
        <v>0</v>
      </c>
      <c r="J3" s="4">
        <v>1</v>
      </c>
      <c r="K3" s="4">
        <f t="shared" ref="K3:K25" si="0">60*J3</f>
        <v>60</v>
      </c>
      <c r="L3" s="4">
        <v>13</v>
      </c>
      <c r="M3" s="20">
        <v>1</v>
      </c>
      <c r="N3" s="5">
        <v>0</v>
      </c>
    </row>
    <row r="4" spans="1:14">
      <c r="A4" s="4">
        <v>2</v>
      </c>
      <c r="B4" s="24">
        <f t="shared" ref="B4:B61" si="1">$B$2+($B$62-$B$2)*(A4-$A$2)/($A$62-$A$2)</f>
        <v>13.966666666666667</v>
      </c>
      <c r="C4" s="20">
        <v>1</v>
      </c>
      <c r="D4" s="5">
        <v>0</v>
      </c>
      <c r="J4" s="4">
        <v>2</v>
      </c>
      <c r="K4" s="4">
        <f t="shared" si="0"/>
        <v>120</v>
      </c>
      <c r="L4" s="4">
        <v>13</v>
      </c>
      <c r="M4" s="20">
        <v>1</v>
      </c>
      <c r="N4" s="5">
        <v>0</v>
      </c>
    </row>
    <row r="5" spans="1:14">
      <c r="A5" s="4">
        <v>3</v>
      </c>
      <c r="B5" s="24">
        <f t="shared" si="1"/>
        <v>13.95</v>
      </c>
      <c r="C5" s="20">
        <v>1</v>
      </c>
      <c r="D5" s="5">
        <v>0</v>
      </c>
      <c r="J5" s="4">
        <v>3</v>
      </c>
      <c r="K5" s="4">
        <f t="shared" si="0"/>
        <v>180</v>
      </c>
      <c r="L5" s="4">
        <v>12</v>
      </c>
      <c r="M5" s="20">
        <v>1</v>
      </c>
      <c r="N5" s="5">
        <v>0</v>
      </c>
    </row>
    <row r="6" spans="1:14">
      <c r="A6" s="4">
        <v>4</v>
      </c>
      <c r="B6" s="24">
        <f t="shared" si="1"/>
        <v>13.933333333333334</v>
      </c>
      <c r="C6" s="20">
        <v>1</v>
      </c>
      <c r="D6" s="5">
        <v>0</v>
      </c>
      <c r="J6" s="4">
        <v>4</v>
      </c>
      <c r="K6" s="4">
        <f t="shared" si="0"/>
        <v>240</v>
      </c>
      <c r="L6" s="4">
        <v>13</v>
      </c>
      <c r="M6" s="20">
        <v>2</v>
      </c>
      <c r="N6" s="5">
        <v>0</v>
      </c>
    </row>
    <row r="7" spans="1:14">
      <c r="A7" s="4">
        <v>5</v>
      </c>
      <c r="B7" s="24">
        <f t="shared" si="1"/>
        <v>13.916666666666666</v>
      </c>
      <c r="C7" s="20">
        <v>1</v>
      </c>
      <c r="D7" s="5">
        <v>0</v>
      </c>
      <c r="J7" s="4">
        <v>5</v>
      </c>
      <c r="K7" s="4">
        <f t="shared" si="0"/>
        <v>300</v>
      </c>
      <c r="L7" s="4">
        <v>13</v>
      </c>
      <c r="M7" s="20">
        <v>2</v>
      </c>
      <c r="N7" s="5">
        <v>0</v>
      </c>
    </row>
    <row r="8" spans="1:14">
      <c r="A8" s="4">
        <v>6</v>
      </c>
      <c r="B8" s="24">
        <f t="shared" si="1"/>
        <v>13.9</v>
      </c>
      <c r="C8" s="20">
        <v>1</v>
      </c>
      <c r="D8" s="5">
        <v>0</v>
      </c>
      <c r="J8" s="4">
        <v>6</v>
      </c>
      <c r="K8" s="4">
        <f t="shared" si="0"/>
        <v>360</v>
      </c>
      <c r="L8" s="4">
        <v>15</v>
      </c>
      <c r="M8" s="20">
        <v>1</v>
      </c>
      <c r="N8" s="5">
        <v>0</v>
      </c>
    </row>
    <row r="9" spans="1:14">
      <c r="A9" s="4">
        <v>7</v>
      </c>
      <c r="B9" s="24">
        <f t="shared" si="1"/>
        <v>13.883333333333333</v>
      </c>
      <c r="C9" s="20">
        <v>1</v>
      </c>
      <c r="D9" s="5">
        <v>0</v>
      </c>
      <c r="J9" s="4">
        <v>7</v>
      </c>
      <c r="K9" s="4">
        <f t="shared" si="0"/>
        <v>420</v>
      </c>
      <c r="L9" s="4">
        <v>17</v>
      </c>
      <c r="M9" s="20">
        <v>1</v>
      </c>
      <c r="N9" s="5">
        <v>67</v>
      </c>
    </row>
    <row r="10" spans="1:14">
      <c r="A10" s="4">
        <v>8</v>
      </c>
      <c r="B10" s="24">
        <f t="shared" si="1"/>
        <v>13.866666666666667</v>
      </c>
      <c r="C10" s="20">
        <v>1</v>
      </c>
      <c r="D10" s="5">
        <v>0</v>
      </c>
      <c r="J10" s="4">
        <v>8</v>
      </c>
      <c r="K10" s="4">
        <f t="shared" si="0"/>
        <v>480</v>
      </c>
      <c r="L10" s="4">
        <v>20</v>
      </c>
      <c r="M10" s="20">
        <v>3</v>
      </c>
      <c r="N10" s="5">
        <v>311</v>
      </c>
    </row>
    <row r="11" spans="1:14">
      <c r="A11" s="4">
        <v>9</v>
      </c>
      <c r="B11" s="24">
        <f t="shared" si="1"/>
        <v>13.85</v>
      </c>
      <c r="C11" s="20">
        <v>1</v>
      </c>
      <c r="D11" s="5">
        <v>0</v>
      </c>
      <c r="J11" s="4">
        <v>9</v>
      </c>
      <c r="K11" s="4">
        <f t="shared" si="0"/>
        <v>540</v>
      </c>
      <c r="L11" s="4">
        <v>22</v>
      </c>
      <c r="M11" s="20">
        <v>5</v>
      </c>
      <c r="N11" s="5">
        <v>566</v>
      </c>
    </row>
    <row r="12" spans="1:14">
      <c r="A12" s="4">
        <v>10</v>
      </c>
      <c r="B12" s="24">
        <f t="shared" si="1"/>
        <v>13.833333333333334</v>
      </c>
      <c r="C12" s="20">
        <v>1</v>
      </c>
      <c r="D12" s="5">
        <v>0</v>
      </c>
      <c r="J12" s="4">
        <v>10</v>
      </c>
      <c r="K12" s="4">
        <f t="shared" si="0"/>
        <v>600</v>
      </c>
      <c r="L12" s="4">
        <v>24</v>
      </c>
      <c r="M12" s="20">
        <v>7</v>
      </c>
      <c r="N12" s="5">
        <v>792</v>
      </c>
    </row>
    <row r="13" spans="1:14">
      <c r="A13" s="4">
        <v>11</v>
      </c>
      <c r="B13" s="24">
        <f t="shared" si="1"/>
        <v>13.816666666666666</v>
      </c>
      <c r="C13" s="20">
        <v>1</v>
      </c>
      <c r="D13" s="5">
        <v>0</v>
      </c>
      <c r="J13" s="4">
        <v>11</v>
      </c>
      <c r="K13" s="4">
        <f t="shared" si="0"/>
        <v>660</v>
      </c>
      <c r="L13" s="4">
        <v>26</v>
      </c>
      <c r="M13" s="20">
        <v>8</v>
      </c>
      <c r="N13" s="5">
        <v>963</v>
      </c>
    </row>
    <row r="14" spans="1:14">
      <c r="A14" s="4">
        <v>12</v>
      </c>
      <c r="B14" s="24">
        <f t="shared" si="1"/>
        <v>13.8</v>
      </c>
      <c r="C14" s="20">
        <v>1</v>
      </c>
      <c r="D14" s="5">
        <v>0</v>
      </c>
      <c r="J14" s="4">
        <v>12</v>
      </c>
      <c r="K14" s="4">
        <f t="shared" si="0"/>
        <v>720</v>
      </c>
      <c r="L14" s="4">
        <v>28</v>
      </c>
      <c r="M14" s="20">
        <v>9</v>
      </c>
      <c r="N14" s="5">
        <v>1065</v>
      </c>
    </row>
    <row r="15" spans="1:14">
      <c r="A15" s="4">
        <v>13</v>
      </c>
      <c r="B15" s="24">
        <f t="shared" si="1"/>
        <v>13.783333333333333</v>
      </c>
      <c r="C15" s="20">
        <v>1</v>
      </c>
      <c r="D15" s="5">
        <v>0</v>
      </c>
      <c r="J15" s="4">
        <v>13</v>
      </c>
      <c r="K15" s="4">
        <f t="shared" si="0"/>
        <v>780</v>
      </c>
      <c r="L15" s="4">
        <v>28</v>
      </c>
      <c r="M15" s="20">
        <v>11</v>
      </c>
      <c r="N15" s="5">
        <v>1081</v>
      </c>
    </row>
    <row r="16" spans="1:14">
      <c r="A16" s="4">
        <v>14</v>
      </c>
      <c r="B16" s="24">
        <f t="shared" si="1"/>
        <v>13.766666666666667</v>
      </c>
      <c r="C16" s="20">
        <v>1</v>
      </c>
      <c r="D16" s="5">
        <v>0</v>
      </c>
      <c r="J16" s="4">
        <v>14</v>
      </c>
      <c r="K16" s="4">
        <f t="shared" si="0"/>
        <v>840</v>
      </c>
      <c r="L16" s="4">
        <v>27</v>
      </c>
      <c r="M16" s="20">
        <v>13</v>
      </c>
      <c r="N16" s="5">
        <v>1029</v>
      </c>
    </row>
    <row r="17" spans="1:14">
      <c r="A17" s="4">
        <v>15</v>
      </c>
      <c r="B17" s="24">
        <f t="shared" si="1"/>
        <v>13.75</v>
      </c>
      <c r="C17" s="20">
        <v>1</v>
      </c>
      <c r="D17" s="5">
        <v>0</v>
      </c>
      <c r="J17" s="4">
        <v>15</v>
      </c>
      <c r="K17" s="4">
        <f t="shared" si="0"/>
        <v>900</v>
      </c>
      <c r="L17" s="4">
        <v>27</v>
      </c>
      <c r="M17" s="20">
        <v>12</v>
      </c>
      <c r="N17" s="5">
        <v>897</v>
      </c>
    </row>
    <row r="18" spans="1:14">
      <c r="A18" s="4">
        <v>16</v>
      </c>
      <c r="B18" s="24">
        <f t="shared" si="1"/>
        <v>13.733333333333333</v>
      </c>
      <c r="C18" s="20">
        <v>1</v>
      </c>
      <c r="D18" s="5">
        <v>0</v>
      </c>
      <c r="J18" s="4">
        <v>16</v>
      </c>
      <c r="K18" s="4">
        <f t="shared" si="0"/>
        <v>960</v>
      </c>
      <c r="L18" s="4">
        <v>26</v>
      </c>
      <c r="M18" s="20">
        <v>10</v>
      </c>
      <c r="N18" s="5">
        <v>704</v>
      </c>
    </row>
    <row r="19" spans="1:14">
      <c r="A19" s="4">
        <v>17</v>
      </c>
      <c r="B19" s="24">
        <f t="shared" si="1"/>
        <v>13.716666666666667</v>
      </c>
      <c r="C19" s="20">
        <v>1</v>
      </c>
      <c r="D19" s="5">
        <v>0</v>
      </c>
      <c r="J19" s="4">
        <v>17</v>
      </c>
      <c r="K19" s="4">
        <f t="shared" si="0"/>
        <v>1020</v>
      </c>
      <c r="L19" s="4">
        <v>25</v>
      </c>
      <c r="M19" s="20">
        <v>6</v>
      </c>
      <c r="N19" s="5">
        <v>460</v>
      </c>
    </row>
    <row r="20" spans="1:14">
      <c r="A20" s="4">
        <v>18</v>
      </c>
      <c r="B20" s="24">
        <f t="shared" si="1"/>
        <v>13.7</v>
      </c>
      <c r="C20" s="20">
        <v>1</v>
      </c>
      <c r="D20" s="5">
        <v>0</v>
      </c>
      <c r="J20" s="4">
        <v>18</v>
      </c>
      <c r="K20" s="4">
        <f t="shared" si="0"/>
        <v>1080</v>
      </c>
      <c r="L20" s="4">
        <v>23</v>
      </c>
      <c r="M20" s="20">
        <v>3</v>
      </c>
      <c r="N20" s="5">
        <v>204</v>
      </c>
    </row>
    <row r="21" spans="1:14">
      <c r="A21" s="4">
        <v>19</v>
      </c>
      <c r="B21" s="24">
        <f t="shared" si="1"/>
        <v>13.683333333333334</v>
      </c>
      <c r="C21" s="20">
        <v>1</v>
      </c>
      <c r="D21" s="5">
        <v>0</v>
      </c>
      <c r="J21" s="4">
        <v>19</v>
      </c>
      <c r="K21" s="4">
        <f t="shared" si="0"/>
        <v>1140</v>
      </c>
      <c r="L21" s="4">
        <v>20</v>
      </c>
      <c r="M21" s="20">
        <v>2</v>
      </c>
      <c r="N21" s="5">
        <v>20</v>
      </c>
    </row>
    <row r="22" spans="1:14">
      <c r="A22" s="4">
        <v>20</v>
      </c>
      <c r="B22" s="24">
        <f t="shared" si="1"/>
        <v>13.666666666666666</v>
      </c>
      <c r="C22" s="20">
        <v>1</v>
      </c>
      <c r="D22" s="5">
        <v>0</v>
      </c>
      <c r="J22" s="4">
        <v>20</v>
      </c>
      <c r="K22" s="4">
        <f t="shared" si="0"/>
        <v>1200</v>
      </c>
      <c r="L22" s="4">
        <v>18</v>
      </c>
      <c r="M22" s="20">
        <v>2</v>
      </c>
      <c r="N22" s="5">
        <v>0</v>
      </c>
    </row>
    <row r="23" spans="1:14">
      <c r="A23" s="4">
        <v>21</v>
      </c>
      <c r="B23" s="24">
        <f t="shared" si="1"/>
        <v>13.65</v>
      </c>
      <c r="C23" s="20">
        <v>1</v>
      </c>
      <c r="D23" s="5">
        <v>0</v>
      </c>
      <c r="J23" s="4">
        <v>21</v>
      </c>
      <c r="K23" s="4">
        <f t="shared" si="0"/>
        <v>1260</v>
      </c>
      <c r="L23" s="4">
        <v>16</v>
      </c>
      <c r="M23" s="20">
        <v>1</v>
      </c>
      <c r="N23" s="5">
        <v>0</v>
      </c>
    </row>
    <row r="24" spans="1:14">
      <c r="A24" s="4">
        <v>22</v>
      </c>
      <c r="B24" s="24">
        <f t="shared" si="1"/>
        <v>13.633333333333333</v>
      </c>
      <c r="C24" s="20">
        <v>1</v>
      </c>
      <c r="D24" s="5">
        <v>0</v>
      </c>
      <c r="J24" s="4">
        <v>22</v>
      </c>
      <c r="K24" s="4">
        <f t="shared" si="0"/>
        <v>1320</v>
      </c>
      <c r="L24" s="4">
        <v>15</v>
      </c>
      <c r="M24" s="20">
        <v>1</v>
      </c>
      <c r="N24" s="5">
        <v>0</v>
      </c>
    </row>
    <row r="25" spans="1:14">
      <c r="A25" s="5">
        <v>23</v>
      </c>
      <c r="B25" s="24">
        <f t="shared" si="1"/>
        <v>13.616666666666667</v>
      </c>
      <c r="C25" s="20">
        <v>1</v>
      </c>
      <c r="D25" s="5">
        <v>0</v>
      </c>
      <c r="J25" s="6">
        <v>23</v>
      </c>
      <c r="K25" s="6">
        <f t="shared" si="0"/>
        <v>1380</v>
      </c>
      <c r="L25" s="6">
        <v>14</v>
      </c>
      <c r="M25" s="10">
        <v>1</v>
      </c>
      <c r="N25" s="8">
        <v>0</v>
      </c>
    </row>
    <row r="26" spans="1:14">
      <c r="A26">
        <v>24</v>
      </c>
      <c r="B26" s="24">
        <f t="shared" si="1"/>
        <v>13.6</v>
      </c>
      <c r="C26" s="20">
        <v>1</v>
      </c>
      <c r="D26" s="5">
        <v>0</v>
      </c>
      <c r="J26" s="21" t="s">
        <v>56</v>
      </c>
      <c r="K26" s="21" t="s">
        <v>57</v>
      </c>
      <c r="L26" s="21" t="s">
        <v>58</v>
      </c>
      <c r="M26" s="21" t="s">
        <v>59</v>
      </c>
      <c r="N26" s="21" t="s">
        <v>60</v>
      </c>
    </row>
    <row r="27" spans="1:14">
      <c r="A27">
        <v>25</v>
      </c>
      <c r="B27" s="24">
        <f t="shared" si="1"/>
        <v>13.583333333333334</v>
      </c>
      <c r="C27" s="20">
        <v>1</v>
      </c>
      <c r="D27" s="5">
        <v>0</v>
      </c>
    </row>
    <row r="28" spans="1:14">
      <c r="A28">
        <v>26</v>
      </c>
      <c r="B28" s="24">
        <f t="shared" si="1"/>
        <v>13.566666666666666</v>
      </c>
      <c r="C28" s="20">
        <v>1</v>
      </c>
      <c r="D28" s="5">
        <v>0</v>
      </c>
    </row>
    <row r="29" spans="1:14">
      <c r="A29">
        <v>27</v>
      </c>
      <c r="B29" s="24">
        <f t="shared" si="1"/>
        <v>13.55</v>
      </c>
      <c r="C29" s="20">
        <v>1</v>
      </c>
      <c r="D29" s="5">
        <v>0</v>
      </c>
    </row>
    <row r="30" spans="1:14">
      <c r="A30">
        <v>28</v>
      </c>
      <c r="B30" s="24">
        <f t="shared" si="1"/>
        <v>13.533333333333333</v>
      </c>
      <c r="C30" s="20">
        <v>1</v>
      </c>
      <c r="D30" s="5">
        <v>0</v>
      </c>
    </row>
    <row r="31" spans="1:14">
      <c r="A31">
        <v>29</v>
      </c>
      <c r="B31" s="24">
        <f t="shared" si="1"/>
        <v>13.516666666666667</v>
      </c>
      <c r="C31" s="20">
        <v>1</v>
      </c>
      <c r="D31" s="5">
        <v>0</v>
      </c>
    </row>
    <row r="32" spans="1:14">
      <c r="A32">
        <v>30</v>
      </c>
      <c r="B32" s="24">
        <f t="shared" si="1"/>
        <v>13.5</v>
      </c>
      <c r="C32" s="20">
        <v>1</v>
      </c>
      <c r="D32" s="5">
        <v>0</v>
      </c>
    </row>
    <row r="33" spans="1:4">
      <c r="A33">
        <v>31</v>
      </c>
      <c r="B33" s="24">
        <f t="shared" si="1"/>
        <v>13.483333333333333</v>
      </c>
      <c r="C33" s="20">
        <v>1</v>
      </c>
      <c r="D33" s="5">
        <v>0</v>
      </c>
    </row>
    <row r="34" spans="1:4">
      <c r="A34">
        <v>32</v>
      </c>
      <c r="B34" s="24">
        <f t="shared" si="1"/>
        <v>13.466666666666667</v>
      </c>
      <c r="C34" s="20">
        <v>1</v>
      </c>
      <c r="D34" s="5">
        <v>0</v>
      </c>
    </row>
    <row r="35" spans="1:4">
      <c r="A35">
        <v>33</v>
      </c>
      <c r="B35" s="24">
        <f t="shared" si="1"/>
        <v>13.45</v>
      </c>
      <c r="C35" s="20">
        <v>1</v>
      </c>
      <c r="D35" s="5">
        <v>0</v>
      </c>
    </row>
    <row r="36" spans="1:4">
      <c r="A36">
        <v>34</v>
      </c>
      <c r="B36" s="24">
        <f t="shared" si="1"/>
        <v>13.433333333333334</v>
      </c>
      <c r="C36" s="20">
        <v>1</v>
      </c>
      <c r="D36" s="5">
        <v>0</v>
      </c>
    </row>
    <row r="37" spans="1:4">
      <c r="A37">
        <v>35</v>
      </c>
      <c r="B37" s="24">
        <f t="shared" si="1"/>
        <v>13.416666666666666</v>
      </c>
      <c r="C37" s="20">
        <v>1</v>
      </c>
      <c r="D37" s="5">
        <v>0</v>
      </c>
    </row>
    <row r="38" spans="1:4">
      <c r="A38">
        <v>36</v>
      </c>
      <c r="B38" s="24">
        <f t="shared" si="1"/>
        <v>13.4</v>
      </c>
      <c r="C38" s="20">
        <v>1</v>
      </c>
      <c r="D38" s="5">
        <v>0</v>
      </c>
    </row>
    <row r="39" spans="1:4">
      <c r="A39">
        <v>37</v>
      </c>
      <c r="B39" s="24">
        <f t="shared" si="1"/>
        <v>13.383333333333333</v>
      </c>
      <c r="C39" s="20">
        <v>1</v>
      </c>
      <c r="D39" s="5">
        <v>0</v>
      </c>
    </row>
    <row r="40" spans="1:4">
      <c r="A40">
        <v>38</v>
      </c>
      <c r="B40" s="24">
        <f t="shared" si="1"/>
        <v>13.366666666666667</v>
      </c>
      <c r="C40" s="20">
        <v>1</v>
      </c>
      <c r="D40" s="5">
        <v>0</v>
      </c>
    </row>
    <row r="41" spans="1:4">
      <c r="A41">
        <v>39</v>
      </c>
      <c r="B41" s="24">
        <f t="shared" si="1"/>
        <v>13.35</v>
      </c>
      <c r="C41" s="20">
        <v>1</v>
      </c>
      <c r="D41" s="5">
        <v>0</v>
      </c>
    </row>
    <row r="42" spans="1:4">
      <c r="A42">
        <v>40</v>
      </c>
      <c r="B42" s="24">
        <f t="shared" si="1"/>
        <v>13.333333333333334</v>
      </c>
      <c r="C42" s="20">
        <v>1</v>
      </c>
      <c r="D42" s="5">
        <v>0</v>
      </c>
    </row>
    <row r="43" spans="1:4">
      <c r="A43">
        <v>41</v>
      </c>
      <c r="B43" s="24">
        <f t="shared" si="1"/>
        <v>13.316666666666666</v>
      </c>
      <c r="C43" s="20">
        <v>1</v>
      </c>
      <c r="D43" s="5">
        <v>0</v>
      </c>
    </row>
    <row r="44" spans="1:4">
      <c r="A44">
        <v>42</v>
      </c>
      <c r="B44" s="24">
        <f t="shared" si="1"/>
        <v>13.3</v>
      </c>
      <c r="C44" s="20">
        <v>1</v>
      </c>
      <c r="D44" s="5">
        <v>0</v>
      </c>
    </row>
    <row r="45" spans="1:4">
      <c r="A45">
        <v>43</v>
      </c>
      <c r="B45" s="24">
        <f t="shared" si="1"/>
        <v>13.283333333333333</v>
      </c>
      <c r="C45" s="20">
        <v>1</v>
      </c>
      <c r="D45" s="5">
        <v>0</v>
      </c>
    </row>
    <row r="46" spans="1:4">
      <c r="A46">
        <v>44</v>
      </c>
      <c r="B46" s="24">
        <f t="shared" si="1"/>
        <v>13.266666666666667</v>
      </c>
      <c r="C46" s="20">
        <v>1</v>
      </c>
      <c r="D46" s="5">
        <v>0</v>
      </c>
    </row>
    <row r="47" spans="1:4">
      <c r="A47">
        <v>45</v>
      </c>
      <c r="B47" s="24">
        <f t="shared" si="1"/>
        <v>13.25</v>
      </c>
      <c r="C47" s="20">
        <v>1</v>
      </c>
      <c r="D47" s="5">
        <v>0</v>
      </c>
    </row>
    <row r="48" spans="1:4">
      <c r="A48">
        <v>46</v>
      </c>
      <c r="B48" s="24">
        <f t="shared" si="1"/>
        <v>13.233333333333333</v>
      </c>
      <c r="C48" s="20">
        <v>1</v>
      </c>
      <c r="D48" s="5">
        <v>0</v>
      </c>
    </row>
    <row r="49" spans="1:4">
      <c r="A49">
        <v>47</v>
      </c>
      <c r="B49" s="24">
        <f t="shared" si="1"/>
        <v>13.216666666666667</v>
      </c>
      <c r="C49" s="20">
        <v>1</v>
      </c>
      <c r="D49" s="5">
        <v>0</v>
      </c>
    </row>
    <row r="50" spans="1:4">
      <c r="A50">
        <v>48</v>
      </c>
      <c r="B50" s="24">
        <f t="shared" si="1"/>
        <v>13.2</v>
      </c>
      <c r="C50" s="20">
        <v>1</v>
      </c>
      <c r="D50" s="5">
        <v>0</v>
      </c>
    </row>
    <row r="51" spans="1:4">
      <c r="A51">
        <v>49</v>
      </c>
      <c r="B51" s="24">
        <f t="shared" si="1"/>
        <v>13.183333333333334</v>
      </c>
      <c r="C51" s="20">
        <v>1</v>
      </c>
      <c r="D51" s="5">
        <v>0</v>
      </c>
    </row>
    <row r="52" spans="1:4">
      <c r="A52">
        <v>50</v>
      </c>
      <c r="B52" s="24">
        <f t="shared" si="1"/>
        <v>13.166666666666666</v>
      </c>
      <c r="C52" s="20">
        <v>1</v>
      </c>
      <c r="D52" s="5">
        <v>0</v>
      </c>
    </row>
    <row r="53" spans="1:4">
      <c r="A53">
        <v>51</v>
      </c>
      <c r="B53" s="24">
        <f t="shared" si="1"/>
        <v>13.15</v>
      </c>
      <c r="C53" s="20">
        <v>1</v>
      </c>
      <c r="D53" s="5">
        <v>0</v>
      </c>
    </row>
    <row r="54" spans="1:4">
      <c r="A54">
        <v>52</v>
      </c>
      <c r="B54" s="24">
        <f t="shared" si="1"/>
        <v>13.133333333333333</v>
      </c>
      <c r="C54" s="20">
        <v>1</v>
      </c>
      <c r="D54" s="5">
        <v>0</v>
      </c>
    </row>
    <row r="55" spans="1:4">
      <c r="A55">
        <v>53</v>
      </c>
      <c r="B55" s="24">
        <f t="shared" si="1"/>
        <v>13.116666666666667</v>
      </c>
      <c r="C55" s="20">
        <v>1</v>
      </c>
      <c r="D55" s="5">
        <v>0</v>
      </c>
    </row>
    <row r="56" spans="1:4">
      <c r="A56">
        <v>54</v>
      </c>
      <c r="B56" s="24">
        <f t="shared" si="1"/>
        <v>13.1</v>
      </c>
      <c r="C56" s="20">
        <v>1</v>
      </c>
      <c r="D56" s="5">
        <v>0</v>
      </c>
    </row>
    <row r="57" spans="1:4">
      <c r="A57">
        <v>55</v>
      </c>
      <c r="B57" s="24">
        <f t="shared" si="1"/>
        <v>13.083333333333334</v>
      </c>
      <c r="C57" s="20">
        <v>1</v>
      </c>
      <c r="D57" s="5">
        <v>0</v>
      </c>
    </row>
    <row r="58" spans="1:4">
      <c r="A58">
        <v>56</v>
      </c>
      <c r="B58" s="24">
        <f t="shared" si="1"/>
        <v>13.066666666666666</v>
      </c>
      <c r="C58" s="20">
        <v>1</v>
      </c>
      <c r="D58" s="5">
        <v>0</v>
      </c>
    </row>
    <row r="59" spans="1:4">
      <c r="A59">
        <v>57</v>
      </c>
      <c r="B59" s="24">
        <f t="shared" si="1"/>
        <v>13.05</v>
      </c>
      <c r="C59" s="20">
        <v>1</v>
      </c>
      <c r="D59" s="5">
        <v>0</v>
      </c>
    </row>
    <row r="60" spans="1:4">
      <c r="A60">
        <v>58</v>
      </c>
      <c r="B60" s="24">
        <f t="shared" si="1"/>
        <v>13.033333333333333</v>
      </c>
      <c r="C60" s="20">
        <v>1</v>
      </c>
      <c r="D60" s="5">
        <v>0</v>
      </c>
    </row>
    <row r="61" spans="1:4">
      <c r="A61">
        <v>59</v>
      </c>
      <c r="B61" s="24">
        <f t="shared" si="1"/>
        <v>13.016666666666667</v>
      </c>
      <c r="C61" s="20">
        <v>1</v>
      </c>
      <c r="D61" s="5">
        <v>0</v>
      </c>
    </row>
    <row r="62" spans="1:4">
      <c r="A62">
        <v>60</v>
      </c>
      <c r="B62" s="4">
        <v>13</v>
      </c>
      <c r="C62" s="20">
        <v>1</v>
      </c>
      <c r="D62" s="5">
        <v>0</v>
      </c>
    </row>
    <row r="63" spans="1:4">
      <c r="A63">
        <v>61</v>
      </c>
      <c r="B63" s="4">
        <v>13</v>
      </c>
      <c r="C63" s="20">
        <v>1</v>
      </c>
      <c r="D63" s="5">
        <v>0</v>
      </c>
    </row>
    <row r="64" spans="1:4">
      <c r="A64">
        <v>62</v>
      </c>
      <c r="B64" s="4">
        <v>13</v>
      </c>
      <c r="C64" s="20">
        <v>1</v>
      </c>
      <c r="D64" s="5">
        <v>0</v>
      </c>
    </row>
    <row r="65" spans="1:4">
      <c r="A65">
        <v>63</v>
      </c>
      <c r="B65" s="4">
        <v>13</v>
      </c>
      <c r="C65" s="20">
        <v>1</v>
      </c>
      <c r="D65" s="5">
        <v>0</v>
      </c>
    </row>
    <row r="66" spans="1:4">
      <c r="A66">
        <v>64</v>
      </c>
      <c r="B66" s="4">
        <v>13</v>
      </c>
      <c r="C66" s="20">
        <v>1</v>
      </c>
      <c r="D66" s="5">
        <v>0</v>
      </c>
    </row>
    <row r="67" spans="1:4">
      <c r="A67">
        <v>65</v>
      </c>
      <c r="B67" s="4">
        <v>13</v>
      </c>
      <c r="C67" s="20">
        <v>1</v>
      </c>
      <c r="D67" s="5">
        <v>0</v>
      </c>
    </row>
    <row r="68" spans="1:4">
      <c r="A68">
        <v>66</v>
      </c>
      <c r="B68" s="4">
        <v>13</v>
      </c>
      <c r="C68" s="20">
        <v>1</v>
      </c>
      <c r="D68" s="5">
        <v>0</v>
      </c>
    </row>
    <row r="69" spans="1:4">
      <c r="A69">
        <v>67</v>
      </c>
      <c r="B69" s="4">
        <v>13</v>
      </c>
      <c r="C69" s="20">
        <v>1</v>
      </c>
      <c r="D69" s="5">
        <v>0</v>
      </c>
    </row>
    <row r="70" spans="1:4">
      <c r="A70">
        <v>68</v>
      </c>
      <c r="B70" s="4">
        <v>13</v>
      </c>
      <c r="C70" s="20">
        <v>1</v>
      </c>
      <c r="D70" s="5">
        <v>0</v>
      </c>
    </row>
    <row r="71" spans="1:4">
      <c r="A71">
        <v>69</v>
      </c>
      <c r="B71" s="4">
        <v>13</v>
      </c>
      <c r="C71" s="20">
        <v>1</v>
      </c>
      <c r="D71" s="5">
        <v>0</v>
      </c>
    </row>
    <row r="72" spans="1:4">
      <c r="A72">
        <v>70</v>
      </c>
      <c r="B72" s="4">
        <v>13</v>
      </c>
      <c r="C72" s="20">
        <v>1</v>
      </c>
      <c r="D72" s="5">
        <v>0</v>
      </c>
    </row>
    <row r="73" spans="1:4">
      <c r="A73">
        <v>71</v>
      </c>
      <c r="B73" s="4">
        <v>13</v>
      </c>
      <c r="C73" s="20">
        <v>1</v>
      </c>
      <c r="D73" s="5">
        <v>0</v>
      </c>
    </row>
    <row r="74" spans="1:4">
      <c r="A74">
        <v>72</v>
      </c>
      <c r="B74" s="4">
        <v>13</v>
      </c>
      <c r="C74" s="20">
        <v>1</v>
      </c>
      <c r="D74" s="5">
        <v>0</v>
      </c>
    </row>
    <row r="75" spans="1:4">
      <c r="A75">
        <v>73</v>
      </c>
      <c r="B75" s="4">
        <v>13</v>
      </c>
      <c r="C75" s="20">
        <v>1</v>
      </c>
      <c r="D75" s="5">
        <v>0</v>
      </c>
    </row>
    <row r="76" spans="1:4">
      <c r="A76">
        <v>74</v>
      </c>
      <c r="B76" s="4">
        <v>13</v>
      </c>
      <c r="C76" s="20">
        <v>1</v>
      </c>
      <c r="D76" s="5">
        <v>0</v>
      </c>
    </row>
    <row r="77" spans="1:4">
      <c r="A77">
        <v>75</v>
      </c>
      <c r="B77" s="4">
        <v>13</v>
      </c>
      <c r="C77" s="20">
        <v>1</v>
      </c>
      <c r="D77" s="5">
        <v>0</v>
      </c>
    </row>
    <row r="78" spans="1:4">
      <c r="A78">
        <v>76</v>
      </c>
      <c r="B78" s="4">
        <v>13</v>
      </c>
      <c r="C78" s="20">
        <v>1</v>
      </c>
      <c r="D78" s="5">
        <v>0</v>
      </c>
    </row>
    <row r="79" spans="1:4">
      <c r="A79">
        <v>77</v>
      </c>
      <c r="B79" s="4">
        <v>13</v>
      </c>
      <c r="C79" s="20">
        <v>1</v>
      </c>
      <c r="D79" s="5">
        <v>0</v>
      </c>
    </row>
    <row r="80" spans="1:4">
      <c r="A80">
        <v>78</v>
      </c>
      <c r="B80" s="4">
        <v>13</v>
      </c>
      <c r="C80" s="20">
        <v>1</v>
      </c>
      <c r="D80" s="5">
        <v>0</v>
      </c>
    </row>
    <row r="81" spans="1:4">
      <c r="A81">
        <v>79</v>
      </c>
      <c r="B81" s="4">
        <v>13</v>
      </c>
      <c r="C81" s="20">
        <v>1</v>
      </c>
      <c r="D81" s="5">
        <v>0</v>
      </c>
    </row>
    <row r="82" spans="1:4">
      <c r="A82">
        <v>80</v>
      </c>
      <c r="B82" s="4">
        <v>13</v>
      </c>
      <c r="C82" s="20">
        <v>1</v>
      </c>
      <c r="D82" s="5">
        <v>0</v>
      </c>
    </row>
    <row r="83" spans="1:4">
      <c r="A83">
        <v>81</v>
      </c>
      <c r="B83" s="4">
        <v>13</v>
      </c>
      <c r="C83" s="20">
        <v>1</v>
      </c>
      <c r="D83" s="5">
        <v>0</v>
      </c>
    </row>
    <row r="84" spans="1:4">
      <c r="A84">
        <v>82</v>
      </c>
      <c r="B84" s="4">
        <v>13</v>
      </c>
      <c r="C84" s="20">
        <v>1</v>
      </c>
      <c r="D84" s="5">
        <v>0</v>
      </c>
    </row>
    <row r="85" spans="1:4">
      <c r="A85">
        <v>83</v>
      </c>
      <c r="B85" s="4">
        <v>13</v>
      </c>
      <c r="C85" s="20">
        <v>1</v>
      </c>
      <c r="D85" s="5">
        <v>0</v>
      </c>
    </row>
    <row r="86" spans="1:4">
      <c r="A86">
        <v>84</v>
      </c>
      <c r="B86" s="4">
        <v>13</v>
      </c>
      <c r="C86" s="20">
        <v>1</v>
      </c>
      <c r="D86" s="5">
        <v>0</v>
      </c>
    </row>
    <row r="87" spans="1:4">
      <c r="A87">
        <v>85</v>
      </c>
      <c r="B87" s="4">
        <v>13</v>
      </c>
      <c r="C87" s="20">
        <v>1</v>
      </c>
      <c r="D87" s="5">
        <v>0</v>
      </c>
    </row>
    <row r="88" spans="1:4">
      <c r="A88">
        <v>86</v>
      </c>
      <c r="B88" s="4">
        <v>13</v>
      </c>
      <c r="C88" s="20">
        <v>1</v>
      </c>
      <c r="D88" s="5">
        <v>0</v>
      </c>
    </row>
    <row r="89" spans="1:4">
      <c r="A89">
        <v>87</v>
      </c>
      <c r="B89" s="4">
        <v>13</v>
      </c>
      <c r="C89" s="20">
        <v>1</v>
      </c>
      <c r="D89" s="5">
        <v>0</v>
      </c>
    </row>
    <row r="90" spans="1:4">
      <c r="A90">
        <v>88</v>
      </c>
      <c r="B90" s="4">
        <v>13</v>
      </c>
      <c r="C90" s="20">
        <v>1</v>
      </c>
      <c r="D90" s="5">
        <v>0</v>
      </c>
    </row>
    <row r="91" spans="1:4">
      <c r="A91">
        <v>89</v>
      </c>
      <c r="B91" s="4">
        <v>13</v>
      </c>
      <c r="C91" s="20">
        <v>1</v>
      </c>
      <c r="D91" s="5">
        <v>0</v>
      </c>
    </row>
    <row r="92" spans="1:4">
      <c r="A92">
        <v>90</v>
      </c>
      <c r="B92" s="4">
        <v>13</v>
      </c>
      <c r="C92" s="20">
        <v>1</v>
      </c>
      <c r="D92" s="5">
        <v>0</v>
      </c>
    </row>
    <row r="93" spans="1:4">
      <c r="A93">
        <v>91</v>
      </c>
      <c r="B93" s="4">
        <v>13</v>
      </c>
      <c r="C93" s="20">
        <v>1</v>
      </c>
      <c r="D93" s="5">
        <v>0</v>
      </c>
    </row>
    <row r="94" spans="1:4">
      <c r="A94">
        <v>92</v>
      </c>
      <c r="B94" s="4">
        <v>13</v>
      </c>
      <c r="C94" s="20">
        <v>1</v>
      </c>
      <c r="D94" s="5">
        <v>0</v>
      </c>
    </row>
    <row r="95" spans="1:4">
      <c r="A95">
        <v>93</v>
      </c>
      <c r="B95" s="4">
        <v>13</v>
      </c>
      <c r="C95" s="20">
        <v>1</v>
      </c>
      <c r="D95" s="5">
        <v>0</v>
      </c>
    </row>
    <row r="96" spans="1:4">
      <c r="A96">
        <v>94</v>
      </c>
      <c r="B96" s="4">
        <v>13</v>
      </c>
      <c r="C96" s="20">
        <v>1</v>
      </c>
      <c r="D96" s="5">
        <v>0</v>
      </c>
    </row>
    <row r="97" spans="1:4">
      <c r="A97">
        <v>95</v>
      </c>
      <c r="B97" s="4">
        <v>13</v>
      </c>
      <c r="C97" s="20">
        <v>1</v>
      </c>
      <c r="D97" s="5">
        <v>0</v>
      </c>
    </row>
    <row r="98" spans="1:4">
      <c r="A98">
        <v>96</v>
      </c>
      <c r="B98" s="4">
        <v>13</v>
      </c>
      <c r="C98" s="20">
        <v>1</v>
      </c>
      <c r="D98" s="5">
        <v>0</v>
      </c>
    </row>
    <row r="99" spans="1:4">
      <c r="A99">
        <v>97</v>
      </c>
      <c r="B99" s="4">
        <v>13</v>
      </c>
      <c r="C99" s="20">
        <v>1</v>
      </c>
      <c r="D99" s="5">
        <v>0</v>
      </c>
    </row>
    <row r="100" spans="1:4">
      <c r="A100">
        <v>98</v>
      </c>
      <c r="B100" s="4">
        <v>13</v>
      </c>
      <c r="C100" s="20">
        <v>1</v>
      </c>
      <c r="D100" s="5">
        <v>0</v>
      </c>
    </row>
    <row r="101" spans="1:4">
      <c r="A101">
        <v>99</v>
      </c>
      <c r="B101" s="4">
        <v>13</v>
      </c>
      <c r="C101" s="20">
        <v>1</v>
      </c>
      <c r="D101" s="5">
        <v>0</v>
      </c>
    </row>
    <row r="102" spans="1:4">
      <c r="A102">
        <v>100</v>
      </c>
      <c r="B102" s="4">
        <v>13</v>
      </c>
      <c r="C102" s="20">
        <v>1</v>
      </c>
      <c r="D102" s="5">
        <v>0</v>
      </c>
    </row>
    <row r="103" spans="1:4">
      <c r="A103">
        <v>101</v>
      </c>
      <c r="B103" s="4">
        <v>13</v>
      </c>
      <c r="C103" s="20">
        <v>1</v>
      </c>
      <c r="D103" s="5">
        <v>0</v>
      </c>
    </row>
    <row r="104" spans="1:4">
      <c r="A104">
        <v>102</v>
      </c>
      <c r="B104" s="4">
        <v>13</v>
      </c>
      <c r="C104" s="20">
        <v>1</v>
      </c>
      <c r="D104" s="5">
        <v>0</v>
      </c>
    </row>
    <row r="105" spans="1:4">
      <c r="A105">
        <v>103</v>
      </c>
      <c r="B105" s="4">
        <v>13</v>
      </c>
      <c r="C105" s="20">
        <v>1</v>
      </c>
      <c r="D105" s="5">
        <v>0</v>
      </c>
    </row>
    <row r="106" spans="1:4">
      <c r="A106">
        <v>104</v>
      </c>
      <c r="B106" s="4">
        <v>13</v>
      </c>
      <c r="C106" s="20">
        <v>1</v>
      </c>
      <c r="D106" s="5">
        <v>0</v>
      </c>
    </row>
    <row r="107" spans="1:4">
      <c r="A107">
        <v>105</v>
      </c>
      <c r="B107" s="4">
        <v>13</v>
      </c>
      <c r="C107" s="20">
        <v>1</v>
      </c>
      <c r="D107" s="5">
        <v>0</v>
      </c>
    </row>
    <row r="108" spans="1:4">
      <c r="A108">
        <v>106</v>
      </c>
      <c r="B108" s="4">
        <v>13</v>
      </c>
      <c r="C108" s="20">
        <v>1</v>
      </c>
      <c r="D108" s="5">
        <v>0</v>
      </c>
    </row>
    <row r="109" spans="1:4">
      <c r="A109">
        <v>107</v>
      </c>
      <c r="B109" s="4">
        <v>13</v>
      </c>
      <c r="C109" s="20">
        <v>1</v>
      </c>
      <c r="D109" s="5">
        <v>0</v>
      </c>
    </row>
    <row r="110" spans="1:4">
      <c r="A110">
        <v>108</v>
      </c>
      <c r="B110" s="4">
        <v>13</v>
      </c>
      <c r="C110" s="20">
        <v>1</v>
      </c>
      <c r="D110" s="5">
        <v>0</v>
      </c>
    </row>
    <row r="111" spans="1:4">
      <c r="A111">
        <v>109</v>
      </c>
      <c r="B111" s="4">
        <v>13</v>
      </c>
      <c r="C111" s="20">
        <v>1</v>
      </c>
      <c r="D111" s="5">
        <v>0</v>
      </c>
    </row>
    <row r="112" spans="1:4">
      <c r="A112">
        <v>110</v>
      </c>
      <c r="B112" s="4">
        <v>13</v>
      </c>
      <c r="C112" s="20">
        <v>1</v>
      </c>
      <c r="D112" s="5">
        <v>0</v>
      </c>
    </row>
    <row r="113" spans="1:4">
      <c r="A113">
        <v>111</v>
      </c>
      <c r="B113" s="4">
        <v>13</v>
      </c>
      <c r="C113" s="20">
        <v>1</v>
      </c>
      <c r="D113" s="5">
        <v>0</v>
      </c>
    </row>
    <row r="114" spans="1:4">
      <c r="A114">
        <v>112</v>
      </c>
      <c r="B114" s="4">
        <v>13</v>
      </c>
      <c r="C114" s="20">
        <v>1</v>
      </c>
      <c r="D114" s="5">
        <v>0</v>
      </c>
    </row>
    <row r="115" spans="1:4">
      <c r="A115">
        <v>113</v>
      </c>
      <c r="B115" s="4">
        <v>13</v>
      </c>
      <c r="C115" s="20">
        <v>1</v>
      </c>
      <c r="D115" s="5">
        <v>0</v>
      </c>
    </row>
    <row r="116" spans="1:4">
      <c r="A116">
        <v>114</v>
      </c>
      <c r="B116" s="4">
        <v>13</v>
      </c>
      <c r="C116" s="20">
        <v>1</v>
      </c>
      <c r="D116" s="5">
        <v>0</v>
      </c>
    </row>
    <row r="117" spans="1:4">
      <c r="A117">
        <v>115</v>
      </c>
      <c r="B117" s="4">
        <v>13</v>
      </c>
      <c r="C117" s="20">
        <v>1</v>
      </c>
      <c r="D117" s="5">
        <v>0</v>
      </c>
    </row>
    <row r="118" spans="1:4">
      <c r="A118">
        <v>116</v>
      </c>
      <c r="B118" s="4">
        <v>13</v>
      </c>
      <c r="C118" s="20">
        <v>1</v>
      </c>
      <c r="D118" s="5">
        <v>0</v>
      </c>
    </row>
    <row r="119" spans="1:4">
      <c r="A119">
        <v>117</v>
      </c>
      <c r="B119" s="4">
        <v>13</v>
      </c>
      <c r="C119" s="20">
        <v>1</v>
      </c>
      <c r="D119" s="5">
        <v>0</v>
      </c>
    </row>
    <row r="120" spans="1:4">
      <c r="A120">
        <v>118</v>
      </c>
      <c r="B120" s="4">
        <v>13</v>
      </c>
      <c r="C120" s="20">
        <v>1</v>
      </c>
      <c r="D120" s="5">
        <v>0</v>
      </c>
    </row>
    <row r="121" spans="1:4">
      <c r="A121">
        <v>119</v>
      </c>
      <c r="B121" s="4">
        <v>13</v>
      </c>
      <c r="C121" s="20">
        <v>1</v>
      </c>
      <c r="D121" s="5">
        <v>0</v>
      </c>
    </row>
    <row r="122" spans="1:4">
      <c r="A122">
        <v>120</v>
      </c>
      <c r="B122" s="4">
        <v>13</v>
      </c>
      <c r="C122" s="20">
        <v>1</v>
      </c>
      <c r="D122" s="5">
        <v>0</v>
      </c>
    </row>
    <row r="123" spans="1:4">
      <c r="A123">
        <v>121</v>
      </c>
      <c r="B123" s="23">
        <f>$B$122-(A123-$A$122)*($B$122-$B$182)/60</f>
        <v>12.983333333333333</v>
      </c>
      <c r="C123" s="20">
        <v>1</v>
      </c>
      <c r="D123" s="5">
        <v>0</v>
      </c>
    </row>
    <row r="124" spans="1:4">
      <c r="A124">
        <v>122</v>
      </c>
      <c r="B124" s="23">
        <f t="shared" ref="B124:B181" si="2">$B$122-(A124-$A$122)*($B$122-$B$182)/60</f>
        <v>12.966666666666667</v>
      </c>
      <c r="C124" s="20">
        <v>1</v>
      </c>
      <c r="D124" s="5">
        <v>0</v>
      </c>
    </row>
    <row r="125" spans="1:4">
      <c r="A125">
        <v>123</v>
      </c>
      <c r="B125" s="23">
        <f t="shared" si="2"/>
        <v>12.95</v>
      </c>
      <c r="C125" s="20">
        <v>1</v>
      </c>
      <c r="D125" s="5">
        <v>0</v>
      </c>
    </row>
    <row r="126" spans="1:4">
      <c r="A126">
        <v>124</v>
      </c>
      <c r="B126" s="23">
        <f t="shared" si="2"/>
        <v>12.933333333333334</v>
      </c>
      <c r="C126" s="20">
        <v>1</v>
      </c>
      <c r="D126" s="5">
        <v>0</v>
      </c>
    </row>
    <row r="127" spans="1:4">
      <c r="A127">
        <v>125</v>
      </c>
      <c r="B127" s="23">
        <f t="shared" si="2"/>
        <v>12.916666666666666</v>
      </c>
      <c r="C127" s="20">
        <v>1</v>
      </c>
      <c r="D127" s="5">
        <v>0</v>
      </c>
    </row>
    <row r="128" spans="1:4">
      <c r="A128">
        <v>126</v>
      </c>
      <c r="B128" s="23">
        <f t="shared" si="2"/>
        <v>12.9</v>
      </c>
      <c r="C128" s="20">
        <v>1</v>
      </c>
      <c r="D128" s="5">
        <v>0</v>
      </c>
    </row>
    <row r="129" spans="1:4">
      <c r="A129">
        <v>127</v>
      </c>
      <c r="B129" s="23">
        <f t="shared" si="2"/>
        <v>12.883333333333333</v>
      </c>
      <c r="C129" s="20">
        <v>1</v>
      </c>
      <c r="D129" s="5">
        <v>0</v>
      </c>
    </row>
    <row r="130" spans="1:4">
      <c r="A130">
        <v>128</v>
      </c>
      <c r="B130" s="23">
        <f t="shared" si="2"/>
        <v>12.866666666666667</v>
      </c>
      <c r="C130" s="20">
        <v>1</v>
      </c>
      <c r="D130" s="5">
        <v>0</v>
      </c>
    </row>
    <row r="131" spans="1:4">
      <c r="A131">
        <v>129</v>
      </c>
      <c r="B131" s="23">
        <f t="shared" si="2"/>
        <v>12.85</v>
      </c>
      <c r="C131" s="20">
        <v>1</v>
      </c>
      <c r="D131" s="5">
        <v>0</v>
      </c>
    </row>
    <row r="132" spans="1:4">
      <c r="A132">
        <v>130</v>
      </c>
      <c r="B132" s="23">
        <f t="shared" si="2"/>
        <v>12.833333333333334</v>
      </c>
      <c r="C132" s="20">
        <v>1</v>
      </c>
      <c r="D132" s="5">
        <v>0</v>
      </c>
    </row>
    <row r="133" spans="1:4">
      <c r="A133">
        <v>131</v>
      </c>
      <c r="B133" s="23">
        <f t="shared" si="2"/>
        <v>12.816666666666666</v>
      </c>
      <c r="C133" s="20">
        <v>1</v>
      </c>
      <c r="D133" s="5">
        <v>0</v>
      </c>
    </row>
    <row r="134" spans="1:4">
      <c r="A134">
        <v>132</v>
      </c>
      <c r="B134" s="23">
        <f t="shared" si="2"/>
        <v>12.8</v>
      </c>
      <c r="C134" s="20">
        <v>1</v>
      </c>
      <c r="D134" s="5">
        <v>0</v>
      </c>
    </row>
    <row r="135" spans="1:4">
      <c r="A135">
        <v>133</v>
      </c>
      <c r="B135" s="23">
        <f t="shared" si="2"/>
        <v>12.783333333333333</v>
      </c>
      <c r="C135" s="20">
        <v>1</v>
      </c>
      <c r="D135" s="5">
        <v>0</v>
      </c>
    </row>
    <row r="136" spans="1:4">
      <c r="A136">
        <v>134</v>
      </c>
      <c r="B136" s="23">
        <f t="shared" si="2"/>
        <v>12.766666666666667</v>
      </c>
      <c r="C136" s="20">
        <v>1</v>
      </c>
      <c r="D136" s="5">
        <v>0</v>
      </c>
    </row>
    <row r="137" spans="1:4">
      <c r="A137">
        <v>135</v>
      </c>
      <c r="B137" s="23">
        <f t="shared" si="2"/>
        <v>12.75</v>
      </c>
      <c r="C137" s="20">
        <v>1</v>
      </c>
      <c r="D137" s="5">
        <v>0</v>
      </c>
    </row>
    <row r="138" spans="1:4">
      <c r="A138">
        <v>136</v>
      </c>
      <c r="B138" s="23">
        <f t="shared" si="2"/>
        <v>12.733333333333333</v>
      </c>
      <c r="C138" s="20">
        <v>1</v>
      </c>
      <c r="D138" s="5">
        <v>0</v>
      </c>
    </row>
    <row r="139" spans="1:4">
      <c r="A139">
        <v>137</v>
      </c>
      <c r="B139" s="23">
        <f t="shared" si="2"/>
        <v>12.716666666666667</v>
      </c>
      <c r="C139" s="20">
        <v>1</v>
      </c>
      <c r="D139" s="5">
        <v>0</v>
      </c>
    </row>
    <row r="140" spans="1:4">
      <c r="A140">
        <v>138</v>
      </c>
      <c r="B140" s="23">
        <f t="shared" si="2"/>
        <v>12.7</v>
      </c>
      <c r="C140" s="20">
        <v>1</v>
      </c>
      <c r="D140" s="5">
        <v>0</v>
      </c>
    </row>
    <row r="141" spans="1:4">
      <c r="A141">
        <v>139</v>
      </c>
      <c r="B141" s="23">
        <f t="shared" si="2"/>
        <v>12.683333333333334</v>
      </c>
      <c r="C141" s="20">
        <v>1</v>
      </c>
      <c r="D141" s="5">
        <v>0</v>
      </c>
    </row>
    <row r="142" spans="1:4">
      <c r="A142">
        <v>140</v>
      </c>
      <c r="B142" s="23">
        <f t="shared" si="2"/>
        <v>12.666666666666666</v>
      </c>
      <c r="C142" s="20">
        <v>1</v>
      </c>
      <c r="D142" s="5">
        <v>0</v>
      </c>
    </row>
    <row r="143" spans="1:4">
      <c r="A143">
        <v>141</v>
      </c>
      <c r="B143" s="23">
        <f t="shared" si="2"/>
        <v>12.65</v>
      </c>
      <c r="C143" s="20">
        <v>1</v>
      </c>
      <c r="D143" s="5">
        <v>0</v>
      </c>
    </row>
    <row r="144" spans="1:4">
      <c r="A144">
        <v>142</v>
      </c>
      <c r="B144" s="23">
        <f t="shared" si="2"/>
        <v>12.633333333333333</v>
      </c>
      <c r="C144" s="20">
        <v>1</v>
      </c>
      <c r="D144" s="5">
        <v>0</v>
      </c>
    </row>
    <row r="145" spans="1:4">
      <c r="A145">
        <v>143</v>
      </c>
      <c r="B145" s="23">
        <f t="shared" si="2"/>
        <v>12.616666666666667</v>
      </c>
      <c r="C145" s="20">
        <v>1</v>
      </c>
      <c r="D145" s="5">
        <v>0</v>
      </c>
    </row>
    <row r="146" spans="1:4">
      <c r="A146">
        <v>144</v>
      </c>
      <c r="B146" s="23">
        <f t="shared" si="2"/>
        <v>12.6</v>
      </c>
      <c r="C146" s="20">
        <v>1</v>
      </c>
      <c r="D146" s="5">
        <v>0</v>
      </c>
    </row>
    <row r="147" spans="1:4">
      <c r="A147">
        <v>145</v>
      </c>
      <c r="B147" s="23">
        <f t="shared" si="2"/>
        <v>12.583333333333334</v>
      </c>
      <c r="C147" s="20">
        <v>1</v>
      </c>
      <c r="D147" s="5">
        <v>0</v>
      </c>
    </row>
    <row r="148" spans="1:4">
      <c r="A148">
        <v>146</v>
      </c>
      <c r="B148" s="23">
        <f t="shared" si="2"/>
        <v>12.566666666666666</v>
      </c>
      <c r="C148" s="20">
        <v>1</v>
      </c>
      <c r="D148" s="5">
        <v>0</v>
      </c>
    </row>
    <row r="149" spans="1:4">
      <c r="A149">
        <v>147</v>
      </c>
      <c r="B149" s="23">
        <f t="shared" si="2"/>
        <v>12.55</v>
      </c>
      <c r="C149" s="20">
        <v>1</v>
      </c>
      <c r="D149" s="5">
        <v>0</v>
      </c>
    </row>
    <row r="150" spans="1:4">
      <c r="A150">
        <v>148</v>
      </c>
      <c r="B150" s="23">
        <f t="shared" si="2"/>
        <v>12.533333333333333</v>
      </c>
      <c r="C150" s="20">
        <v>1</v>
      </c>
      <c r="D150" s="5">
        <v>0</v>
      </c>
    </row>
    <row r="151" spans="1:4">
      <c r="A151">
        <v>149</v>
      </c>
      <c r="B151" s="23">
        <f t="shared" si="2"/>
        <v>12.516666666666667</v>
      </c>
      <c r="C151" s="20">
        <v>1</v>
      </c>
      <c r="D151" s="5">
        <v>0</v>
      </c>
    </row>
    <row r="152" spans="1:4">
      <c r="A152">
        <v>150</v>
      </c>
      <c r="B152" s="23">
        <f t="shared" si="2"/>
        <v>12.5</v>
      </c>
      <c r="C152" s="20">
        <v>1</v>
      </c>
      <c r="D152" s="5">
        <v>0</v>
      </c>
    </row>
    <row r="153" spans="1:4">
      <c r="A153">
        <v>151</v>
      </c>
      <c r="B153" s="23">
        <f t="shared" si="2"/>
        <v>12.483333333333333</v>
      </c>
      <c r="C153" s="20">
        <v>1</v>
      </c>
      <c r="D153" s="5">
        <v>0</v>
      </c>
    </row>
    <row r="154" spans="1:4">
      <c r="A154">
        <v>152</v>
      </c>
      <c r="B154" s="23">
        <f t="shared" si="2"/>
        <v>12.466666666666667</v>
      </c>
      <c r="C154" s="20">
        <v>1</v>
      </c>
      <c r="D154" s="5">
        <v>0</v>
      </c>
    </row>
    <row r="155" spans="1:4">
      <c r="A155">
        <v>153</v>
      </c>
      <c r="B155" s="23">
        <f t="shared" si="2"/>
        <v>12.45</v>
      </c>
      <c r="C155" s="20">
        <v>1</v>
      </c>
      <c r="D155" s="5">
        <v>0</v>
      </c>
    </row>
    <row r="156" spans="1:4">
      <c r="A156">
        <v>154</v>
      </c>
      <c r="B156" s="23">
        <f t="shared" si="2"/>
        <v>12.433333333333334</v>
      </c>
      <c r="C156" s="20">
        <v>1</v>
      </c>
      <c r="D156" s="5">
        <v>0</v>
      </c>
    </row>
    <row r="157" spans="1:4">
      <c r="A157">
        <v>155</v>
      </c>
      <c r="B157" s="23">
        <f t="shared" si="2"/>
        <v>12.416666666666666</v>
      </c>
      <c r="C157" s="20">
        <v>1</v>
      </c>
      <c r="D157" s="5">
        <v>0</v>
      </c>
    </row>
    <row r="158" spans="1:4">
      <c r="A158">
        <v>156</v>
      </c>
      <c r="B158" s="23">
        <f t="shared" si="2"/>
        <v>12.4</v>
      </c>
      <c r="C158" s="20">
        <v>1</v>
      </c>
      <c r="D158" s="5">
        <v>0</v>
      </c>
    </row>
    <row r="159" spans="1:4">
      <c r="A159">
        <v>157</v>
      </c>
      <c r="B159" s="23">
        <f t="shared" si="2"/>
        <v>12.383333333333333</v>
      </c>
      <c r="C159" s="20">
        <v>1</v>
      </c>
      <c r="D159" s="5">
        <v>0</v>
      </c>
    </row>
    <row r="160" spans="1:4">
      <c r="A160">
        <v>158</v>
      </c>
      <c r="B160" s="23">
        <f t="shared" si="2"/>
        <v>12.366666666666667</v>
      </c>
      <c r="C160" s="20">
        <v>1</v>
      </c>
      <c r="D160" s="5">
        <v>0</v>
      </c>
    </row>
    <row r="161" spans="1:4">
      <c r="A161">
        <v>159</v>
      </c>
      <c r="B161" s="23">
        <f t="shared" si="2"/>
        <v>12.35</v>
      </c>
      <c r="C161" s="20">
        <v>1</v>
      </c>
      <c r="D161" s="5">
        <v>0</v>
      </c>
    </row>
    <row r="162" spans="1:4">
      <c r="A162">
        <v>160</v>
      </c>
      <c r="B162" s="23">
        <f t="shared" si="2"/>
        <v>12.333333333333334</v>
      </c>
      <c r="C162" s="20">
        <v>1</v>
      </c>
      <c r="D162" s="5">
        <v>0</v>
      </c>
    </row>
    <row r="163" spans="1:4">
      <c r="A163">
        <v>161</v>
      </c>
      <c r="B163" s="23">
        <f t="shared" si="2"/>
        <v>12.316666666666666</v>
      </c>
      <c r="C163" s="20">
        <v>1</v>
      </c>
      <c r="D163" s="5">
        <v>0</v>
      </c>
    </row>
    <row r="164" spans="1:4">
      <c r="A164">
        <v>162</v>
      </c>
      <c r="B164" s="23">
        <f t="shared" si="2"/>
        <v>12.3</v>
      </c>
      <c r="C164" s="20">
        <v>1</v>
      </c>
      <c r="D164" s="5">
        <v>0</v>
      </c>
    </row>
    <row r="165" spans="1:4">
      <c r="A165">
        <v>163</v>
      </c>
      <c r="B165" s="23">
        <f t="shared" si="2"/>
        <v>12.283333333333333</v>
      </c>
      <c r="C165" s="20">
        <v>1</v>
      </c>
      <c r="D165" s="5">
        <v>0</v>
      </c>
    </row>
    <row r="166" spans="1:4">
      <c r="A166">
        <v>164</v>
      </c>
      <c r="B166" s="23">
        <f t="shared" si="2"/>
        <v>12.266666666666667</v>
      </c>
      <c r="C166" s="20">
        <v>1</v>
      </c>
      <c r="D166" s="5">
        <v>0</v>
      </c>
    </row>
    <row r="167" spans="1:4">
      <c r="A167">
        <v>165</v>
      </c>
      <c r="B167" s="23">
        <f t="shared" si="2"/>
        <v>12.25</v>
      </c>
      <c r="C167" s="20">
        <v>1</v>
      </c>
      <c r="D167" s="5">
        <v>0</v>
      </c>
    </row>
    <row r="168" spans="1:4">
      <c r="A168">
        <v>166</v>
      </c>
      <c r="B168" s="23">
        <f t="shared" si="2"/>
        <v>12.233333333333333</v>
      </c>
      <c r="C168" s="20">
        <v>1</v>
      </c>
      <c r="D168" s="5">
        <v>0</v>
      </c>
    </row>
    <row r="169" spans="1:4">
      <c r="A169">
        <v>167</v>
      </c>
      <c r="B169" s="23">
        <f t="shared" si="2"/>
        <v>12.216666666666667</v>
      </c>
      <c r="C169" s="20">
        <v>1</v>
      </c>
      <c r="D169" s="5">
        <v>0</v>
      </c>
    </row>
    <row r="170" spans="1:4">
      <c r="A170">
        <v>168</v>
      </c>
      <c r="B170" s="23">
        <f t="shared" si="2"/>
        <v>12.2</v>
      </c>
      <c r="C170" s="20">
        <v>1</v>
      </c>
      <c r="D170" s="5">
        <v>0</v>
      </c>
    </row>
    <row r="171" spans="1:4">
      <c r="A171">
        <v>169</v>
      </c>
      <c r="B171" s="23">
        <f t="shared" si="2"/>
        <v>12.183333333333334</v>
      </c>
      <c r="C171" s="20">
        <v>1</v>
      </c>
      <c r="D171" s="5">
        <v>0</v>
      </c>
    </row>
    <row r="172" spans="1:4">
      <c r="A172">
        <v>170</v>
      </c>
      <c r="B172" s="23">
        <f t="shared" si="2"/>
        <v>12.166666666666666</v>
      </c>
      <c r="C172" s="20">
        <v>1</v>
      </c>
      <c r="D172" s="5">
        <v>0</v>
      </c>
    </row>
    <row r="173" spans="1:4">
      <c r="A173">
        <v>171</v>
      </c>
      <c r="B173" s="23">
        <f t="shared" si="2"/>
        <v>12.15</v>
      </c>
      <c r="C173" s="20">
        <v>1</v>
      </c>
      <c r="D173" s="5">
        <v>0</v>
      </c>
    </row>
    <row r="174" spans="1:4">
      <c r="A174">
        <v>172</v>
      </c>
      <c r="B174" s="23">
        <f t="shared" si="2"/>
        <v>12.133333333333333</v>
      </c>
      <c r="C174" s="20">
        <v>1</v>
      </c>
      <c r="D174" s="5">
        <v>0</v>
      </c>
    </row>
    <row r="175" spans="1:4">
      <c r="A175">
        <v>173</v>
      </c>
      <c r="B175" s="23">
        <f t="shared" si="2"/>
        <v>12.116666666666667</v>
      </c>
      <c r="C175" s="20">
        <v>1</v>
      </c>
      <c r="D175" s="5">
        <v>0</v>
      </c>
    </row>
    <row r="176" spans="1:4">
      <c r="A176">
        <v>174</v>
      </c>
      <c r="B176" s="23">
        <f t="shared" si="2"/>
        <v>12.1</v>
      </c>
      <c r="C176" s="20">
        <v>1</v>
      </c>
      <c r="D176" s="5">
        <v>0</v>
      </c>
    </row>
    <row r="177" spans="1:4">
      <c r="A177">
        <v>175</v>
      </c>
      <c r="B177" s="23">
        <f t="shared" si="2"/>
        <v>12.083333333333334</v>
      </c>
      <c r="C177" s="20">
        <v>1</v>
      </c>
      <c r="D177" s="5">
        <v>0</v>
      </c>
    </row>
    <row r="178" spans="1:4">
      <c r="A178">
        <v>176</v>
      </c>
      <c r="B178" s="23">
        <f t="shared" si="2"/>
        <v>12.066666666666666</v>
      </c>
      <c r="C178" s="20">
        <v>1</v>
      </c>
      <c r="D178" s="5">
        <v>0</v>
      </c>
    </row>
    <row r="179" spans="1:4">
      <c r="A179">
        <v>177</v>
      </c>
      <c r="B179" s="23">
        <f t="shared" si="2"/>
        <v>12.05</v>
      </c>
      <c r="C179" s="20">
        <v>1</v>
      </c>
      <c r="D179" s="5">
        <v>0</v>
      </c>
    </row>
    <row r="180" spans="1:4">
      <c r="A180">
        <v>178</v>
      </c>
      <c r="B180" s="23">
        <f t="shared" si="2"/>
        <v>12.033333333333333</v>
      </c>
      <c r="C180" s="20">
        <v>1</v>
      </c>
      <c r="D180" s="5">
        <v>0</v>
      </c>
    </row>
    <row r="181" spans="1:4">
      <c r="A181">
        <v>179</v>
      </c>
      <c r="B181" s="23">
        <f t="shared" si="2"/>
        <v>12.016666666666667</v>
      </c>
      <c r="C181" s="20">
        <v>1</v>
      </c>
      <c r="D181" s="5">
        <v>0</v>
      </c>
    </row>
    <row r="182" spans="1:4">
      <c r="A182">
        <v>180</v>
      </c>
      <c r="B182" s="4">
        <v>12</v>
      </c>
      <c r="C182" s="20">
        <v>1</v>
      </c>
      <c r="D182" s="5">
        <v>0</v>
      </c>
    </row>
    <row r="183" spans="1:4">
      <c r="A183">
        <v>181</v>
      </c>
      <c r="B183" s="23">
        <f>$B$182-(A183-$A$182)*($B$182-$B$242)/60</f>
        <v>12.016666666666667</v>
      </c>
      <c r="C183" s="23">
        <f>$C$182-(A183-$A$182)*($C$182-2)/60</f>
        <v>1.0166666666666666</v>
      </c>
      <c r="D183" s="5">
        <v>0</v>
      </c>
    </row>
    <row r="184" spans="1:4">
      <c r="A184">
        <v>182</v>
      </c>
      <c r="B184" s="23">
        <f t="shared" ref="B184:B241" si="3">$B$182-(A184-$A$182)*($B$182-$B$242)/60</f>
        <v>12.033333333333333</v>
      </c>
      <c r="C184" s="23">
        <f t="shared" ref="C184:C241" si="4">$C$182-(A184-$A$182)*($C$182-2)/60</f>
        <v>1.0333333333333334</v>
      </c>
      <c r="D184" s="5">
        <v>0</v>
      </c>
    </row>
    <row r="185" spans="1:4">
      <c r="A185">
        <v>183</v>
      </c>
      <c r="B185" s="23">
        <f t="shared" si="3"/>
        <v>12.05</v>
      </c>
      <c r="C185" s="23">
        <f t="shared" si="4"/>
        <v>1.05</v>
      </c>
      <c r="D185" s="5">
        <v>0</v>
      </c>
    </row>
    <row r="186" spans="1:4">
      <c r="A186">
        <v>184</v>
      </c>
      <c r="B186" s="23">
        <f t="shared" si="3"/>
        <v>12.066666666666666</v>
      </c>
      <c r="C186" s="23">
        <f t="shared" si="4"/>
        <v>1.0666666666666667</v>
      </c>
      <c r="D186" s="5">
        <v>0</v>
      </c>
    </row>
    <row r="187" spans="1:4">
      <c r="A187">
        <v>185</v>
      </c>
      <c r="B187" s="23">
        <f t="shared" si="3"/>
        <v>12.083333333333334</v>
      </c>
      <c r="C187" s="23">
        <f t="shared" si="4"/>
        <v>1.0833333333333333</v>
      </c>
      <c r="D187" s="5">
        <v>0</v>
      </c>
    </row>
    <row r="188" spans="1:4">
      <c r="A188">
        <v>186</v>
      </c>
      <c r="B188" s="23">
        <f t="shared" si="3"/>
        <v>12.1</v>
      </c>
      <c r="C188" s="23">
        <f t="shared" si="4"/>
        <v>1.1000000000000001</v>
      </c>
      <c r="D188" s="5">
        <v>0</v>
      </c>
    </row>
    <row r="189" spans="1:4">
      <c r="A189">
        <v>187</v>
      </c>
      <c r="B189" s="23">
        <f t="shared" si="3"/>
        <v>12.116666666666667</v>
      </c>
      <c r="C189" s="23">
        <f t="shared" si="4"/>
        <v>1.1166666666666667</v>
      </c>
      <c r="D189" s="5">
        <v>0</v>
      </c>
    </row>
    <row r="190" spans="1:4">
      <c r="A190">
        <v>188</v>
      </c>
      <c r="B190" s="23">
        <f t="shared" si="3"/>
        <v>12.133333333333333</v>
      </c>
      <c r="C190" s="23">
        <f t="shared" si="4"/>
        <v>1.1333333333333333</v>
      </c>
      <c r="D190" s="5">
        <v>0</v>
      </c>
    </row>
    <row r="191" spans="1:4">
      <c r="A191">
        <v>189</v>
      </c>
      <c r="B191" s="23">
        <f t="shared" si="3"/>
        <v>12.15</v>
      </c>
      <c r="C191" s="23">
        <f t="shared" si="4"/>
        <v>1.1499999999999999</v>
      </c>
      <c r="D191" s="5">
        <v>0</v>
      </c>
    </row>
    <row r="192" spans="1:4">
      <c r="A192">
        <v>190</v>
      </c>
      <c r="B192" s="23">
        <f t="shared" si="3"/>
        <v>12.166666666666666</v>
      </c>
      <c r="C192" s="23">
        <f t="shared" si="4"/>
        <v>1.1666666666666667</v>
      </c>
      <c r="D192" s="5">
        <v>0</v>
      </c>
    </row>
    <row r="193" spans="1:4">
      <c r="A193">
        <v>191</v>
      </c>
      <c r="B193" s="23">
        <f t="shared" si="3"/>
        <v>12.183333333333334</v>
      </c>
      <c r="C193" s="23">
        <f t="shared" si="4"/>
        <v>1.1833333333333333</v>
      </c>
      <c r="D193" s="5">
        <v>0</v>
      </c>
    </row>
    <row r="194" spans="1:4">
      <c r="A194">
        <v>192</v>
      </c>
      <c r="B194" s="23">
        <f t="shared" si="3"/>
        <v>12.2</v>
      </c>
      <c r="C194" s="23">
        <f t="shared" si="4"/>
        <v>1.2</v>
      </c>
      <c r="D194" s="5">
        <v>0</v>
      </c>
    </row>
    <row r="195" spans="1:4">
      <c r="A195">
        <v>193</v>
      </c>
      <c r="B195" s="23">
        <f t="shared" si="3"/>
        <v>12.216666666666667</v>
      </c>
      <c r="C195" s="23">
        <f t="shared" si="4"/>
        <v>1.2166666666666668</v>
      </c>
      <c r="D195" s="5">
        <v>0</v>
      </c>
    </row>
    <row r="196" spans="1:4">
      <c r="A196">
        <v>194</v>
      </c>
      <c r="B196" s="23">
        <f t="shared" si="3"/>
        <v>12.233333333333333</v>
      </c>
      <c r="C196" s="23">
        <f t="shared" si="4"/>
        <v>1.2333333333333334</v>
      </c>
      <c r="D196" s="5">
        <v>0</v>
      </c>
    </row>
    <row r="197" spans="1:4">
      <c r="A197">
        <v>195</v>
      </c>
      <c r="B197" s="23">
        <f t="shared" si="3"/>
        <v>12.25</v>
      </c>
      <c r="C197" s="23">
        <f t="shared" si="4"/>
        <v>1.25</v>
      </c>
      <c r="D197" s="5">
        <v>0</v>
      </c>
    </row>
    <row r="198" spans="1:4">
      <c r="A198">
        <v>196</v>
      </c>
      <c r="B198" s="23">
        <f t="shared" si="3"/>
        <v>12.266666666666667</v>
      </c>
      <c r="C198" s="23">
        <f t="shared" si="4"/>
        <v>1.2666666666666666</v>
      </c>
      <c r="D198" s="5">
        <v>0</v>
      </c>
    </row>
    <row r="199" spans="1:4">
      <c r="A199">
        <v>197</v>
      </c>
      <c r="B199" s="23">
        <f t="shared" si="3"/>
        <v>12.283333333333333</v>
      </c>
      <c r="C199" s="23">
        <f t="shared" si="4"/>
        <v>1.2833333333333332</v>
      </c>
      <c r="D199" s="5">
        <v>0</v>
      </c>
    </row>
    <row r="200" spans="1:4">
      <c r="A200">
        <v>198</v>
      </c>
      <c r="B200" s="23">
        <f t="shared" si="3"/>
        <v>12.3</v>
      </c>
      <c r="C200" s="23">
        <f t="shared" si="4"/>
        <v>1.3</v>
      </c>
      <c r="D200" s="5">
        <v>0</v>
      </c>
    </row>
    <row r="201" spans="1:4">
      <c r="A201">
        <v>199</v>
      </c>
      <c r="B201" s="23">
        <f t="shared" si="3"/>
        <v>12.316666666666666</v>
      </c>
      <c r="C201" s="23">
        <f t="shared" si="4"/>
        <v>1.3166666666666667</v>
      </c>
      <c r="D201" s="5">
        <v>0</v>
      </c>
    </row>
    <row r="202" spans="1:4">
      <c r="A202">
        <v>200</v>
      </c>
      <c r="B202" s="23">
        <f t="shared" si="3"/>
        <v>12.333333333333334</v>
      </c>
      <c r="C202" s="23">
        <f t="shared" si="4"/>
        <v>1.3333333333333333</v>
      </c>
      <c r="D202" s="5">
        <v>0</v>
      </c>
    </row>
    <row r="203" spans="1:4">
      <c r="A203">
        <v>201</v>
      </c>
      <c r="B203" s="23">
        <f t="shared" si="3"/>
        <v>12.35</v>
      </c>
      <c r="C203" s="23">
        <f t="shared" si="4"/>
        <v>1.35</v>
      </c>
      <c r="D203" s="5">
        <v>0</v>
      </c>
    </row>
    <row r="204" spans="1:4">
      <c r="A204">
        <v>202</v>
      </c>
      <c r="B204" s="23">
        <f t="shared" si="3"/>
        <v>12.366666666666667</v>
      </c>
      <c r="C204" s="23">
        <f t="shared" si="4"/>
        <v>1.3666666666666667</v>
      </c>
      <c r="D204" s="5">
        <v>0</v>
      </c>
    </row>
    <row r="205" spans="1:4">
      <c r="A205">
        <v>203</v>
      </c>
      <c r="B205" s="23">
        <f t="shared" si="3"/>
        <v>12.383333333333333</v>
      </c>
      <c r="C205" s="23">
        <f t="shared" si="4"/>
        <v>1.3833333333333333</v>
      </c>
      <c r="D205" s="5">
        <v>0</v>
      </c>
    </row>
    <row r="206" spans="1:4">
      <c r="A206">
        <v>204</v>
      </c>
      <c r="B206" s="23">
        <f t="shared" si="3"/>
        <v>12.4</v>
      </c>
      <c r="C206" s="23">
        <f t="shared" si="4"/>
        <v>1.4</v>
      </c>
      <c r="D206" s="5">
        <v>0</v>
      </c>
    </row>
    <row r="207" spans="1:4">
      <c r="A207">
        <v>205</v>
      </c>
      <c r="B207" s="23">
        <f t="shared" si="3"/>
        <v>12.416666666666666</v>
      </c>
      <c r="C207" s="23">
        <f t="shared" si="4"/>
        <v>1.4166666666666667</v>
      </c>
      <c r="D207" s="5">
        <v>0</v>
      </c>
    </row>
    <row r="208" spans="1:4">
      <c r="A208">
        <v>206</v>
      </c>
      <c r="B208" s="23">
        <f t="shared" si="3"/>
        <v>12.433333333333334</v>
      </c>
      <c r="C208" s="23">
        <f t="shared" si="4"/>
        <v>1.4333333333333333</v>
      </c>
      <c r="D208" s="5">
        <v>0</v>
      </c>
    </row>
    <row r="209" spans="1:4">
      <c r="A209">
        <v>207</v>
      </c>
      <c r="B209" s="23">
        <f t="shared" si="3"/>
        <v>12.45</v>
      </c>
      <c r="C209" s="23">
        <f t="shared" si="4"/>
        <v>1.45</v>
      </c>
      <c r="D209" s="5">
        <v>0</v>
      </c>
    </row>
    <row r="210" spans="1:4">
      <c r="A210">
        <v>208</v>
      </c>
      <c r="B210" s="23">
        <f t="shared" si="3"/>
        <v>12.466666666666667</v>
      </c>
      <c r="C210" s="23">
        <f t="shared" si="4"/>
        <v>1.4666666666666668</v>
      </c>
      <c r="D210" s="5">
        <v>0</v>
      </c>
    </row>
    <row r="211" spans="1:4">
      <c r="A211">
        <v>209</v>
      </c>
      <c r="B211" s="23">
        <f t="shared" si="3"/>
        <v>12.483333333333333</v>
      </c>
      <c r="C211" s="23">
        <f t="shared" si="4"/>
        <v>1.4833333333333334</v>
      </c>
      <c r="D211" s="5">
        <v>0</v>
      </c>
    </row>
    <row r="212" spans="1:4">
      <c r="A212">
        <v>210</v>
      </c>
      <c r="B212" s="23">
        <f t="shared" si="3"/>
        <v>12.5</v>
      </c>
      <c r="C212" s="23">
        <f t="shared" si="4"/>
        <v>1.5</v>
      </c>
      <c r="D212" s="5">
        <v>0</v>
      </c>
    </row>
    <row r="213" spans="1:4">
      <c r="A213">
        <v>211</v>
      </c>
      <c r="B213" s="23">
        <f t="shared" si="3"/>
        <v>12.516666666666667</v>
      </c>
      <c r="C213" s="23">
        <f t="shared" si="4"/>
        <v>1.5166666666666666</v>
      </c>
      <c r="D213" s="5">
        <v>0</v>
      </c>
    </row>
    <row r="214" spans="1:4">
      <c r="A214">
        <v>212</v>
      </c>
      <c r="B214" s="23">
        <f t="shared" si="3"/>
        <v>12.533333333333333</v>
      </c>
      <c r="C214" s="23">
        <f t="shared" si="4"/>
        <v>1.5333333333333332</v>
      </c>
      <c r="D214" s="5">
        <v>0</v>
      </c>
    </row>
    <row r="215" spans="1:4">
      <c r="A215">
        <v>213</v>
      </c>
      <c r="B215" s="23">
        <f t="shared" si="3"/>
        <v>12.55</v>
      </c>
      <c r="C215" s="23">
        <f t="shared" si="4"/>
        <v>1.55</v>
      </c>
      <c r="D215" s="5">
        <v>0</v>
      </c>
    </row>
    <row r="216" spans="1:4">
      <c r="A216">
        <v>214</v>
      </c>
      <c r="B216" s="23">
        <f t="shared" si="3"/>
        <v>12.566666666666666</v>
      </c>
      <c r="C216" s="23">
        <f t="shared" si="4"/>
        <v>1.5666666666666667</v>
      </c>
      <c r="D216" s="5">
        <v>0</v>
      </c>
    </row>
    <row r="217" spans="1:4">
      <c r="A217">
        <v>215</v>
      </c>
      <c r="B217" s="23">
        <f t="shared" si="3"/>
        <v>12.583333333333334</v>
      </c>
      <c r="C217" s="23">
        <f t="shared" si="4"/>
        <v>1.5833333333333335</v>
      </c>
      <c r="D217" s="5">
        <v>0</v>
      </c>
    </row>
    <row r="218" spans="1:4">
      <c r="A218">
        <v>216</v>
      </c>
      <c r="B218" s="23">
        <f t="shared" si="3"/>
        <v>12.6</v>
      </c>
      <c r="C218" s="23">
        <f t="shared" si="4"/>
        <v>1.6</v>
      </c>
      <c r="D218" s="5">
        <v>0</v>
      </c>
    </row>
    <row r="219" spans="1:4">
      <c r="A219">
        <v>217</v>
      </c>
      <c r="B219" s="23">
        <f t="shared" si="3"/>
        <v>12.616666666666667</v>
      </c>
      <c r="C219" s="23">
        <f t="shared" si="4"/>
        <v>1.6166666666666667</v>
      </c>
      <c r="D219" s="5">
        <v>0</v>
      </c>
    </row>
    <row r="220" spans="1:4">
      <c r="A220">
        <v>218</v>
      </c>
      <c r="B220" s="23">
        <f t="shared" si="3"/>
        <v>12.633333333333333</v>
      </c>
      <c r="C220" s="23">
        <f t="shared" si="4"/>
        <v>1.6333333333333333</v>
      </c>
      <c r="D220" s="5">
        <v>0</v>
      </c>
    </row>
    <row r="221" spans="1:4">
      <c r="A221">
        <v>219</v>
      </c>
      <c r="B221" s="23">
        <f t="shared" si="3"/>
        <v>12.65</v>
      </c>
      <c r="C221" s="23">
        <f t="shared" si="4"/>
        <v>1.65</v>
      </c>
      <c r="D221" s="5">
        <v>0</v>
      </c>
    </row>
    <row r="222" spans="1:4">
      <c r="A222">
        <v>220</v>
      </c>
      <c r="B222" s="23">
        <f t="shared" si="3"/>
        <v>12.666666666666666</v>
      </c>
      <c r="C222" s="23">
        <f t="shared" si="4"/>
        <v>1.6666666666666665</v>
      </c>
      <c r="D222" s="5">
        <v>0</v>
      </c>
    </row>
    <row r="223" spans="1:4">
      <c r="A223">
        <v>221</v>
      </c>
      <c r="B223" s="23">
        <f t="shared" si="3"/>
        <v>12.683333333333334</v>
      </c>
      <c r="C223" s="23">
        <f t="shared" si="4"/>
        <v>1.6833333333333333</v>
      </c>
      <c r="D223" s="5">
        <v>0</v>
      </c>
    </row>
    <row r="224" spans="1:4">
      <c r="A224">
        <v>222</v>
      </c>
      <c r="B224" s="23">
        <f t="shared" si="3"/>
        <v>12.7</v>
      </c>
      <c r="C224" s="23">
        <f t="shared" si="4"/>
        <v>1.7</v>
      </c>
      <c r="D224" s="5">
        <v>0</v>
      </c>
    </row>
    <row r="225" spans="1:4">
      <c r="A225">
        <v>223</v>
      </c>
      <c r="B225" s="23">
        <f t="shared" si="3"/>
        <v>12.716666666666667</v>
      </c>
      <c r="C225" s="23">
        <f t="shared" si="4"/>
        <v>1.7166666666666668</v>
      </c>
      <c r="D225" s="5">
        <v>0</v>
      </c>
    </row>
    <row r="226" spans="1:4">
      <c r="A226">
        <v>224</v>
      </c>
      <c r="B226" s="23">
        <f t="shared" si="3"/>
        <v>12.733333333333333</v>
      </c>
      <c r="C226" s="23">
        <f t="shared" si="4"/>
        <v>1.7333333333333334</v>
      </c>
      <c r="D226" s="5">
        <v>0</v>
      </c>
    </row>
    <row r="227" spans="1:4">
      <c r="A227">
        <v>225</v>
      </c>
      <c r="B227" s="23">
        <f t="shared" si="3"/>
        <v>12.75</v>
      </c>
      <c r="C227" s="23">
        <f t="shared" si="4"/>
        <v>1.75</v>
      </c>
      <c r="D227" s="5">
        <v>0</v>
      </c>
    </row>
    <row r="228" spans="1:4">
      <c r="A228">
        <v>226</v>
      </c>
      <c r="B228" s="23">
        <f t="shared" si="3"/>
        <v>12.766666666666667</v>
      </c>
      <c r="C228" s="23">
        <f t="shared" si="4"/>
        <v>1.7666666666666666</v>
      </c>
      <c r="D228" s="5">
        <v>0</v>
      </c>
    </row>
    <row r="229" spans="1:4">
      <c r="A229">
        <v>227</v>
      </c>
      <c r="B229" s="23">
        <f t="shared" si="3"/>
        <v>12.783333333333333</v>
      </c>
      <c r="C229" s="23">
        <f t="shared" si="4"/>
        <v>1.7833333333333332</v>
      </c>
      <c r="D229" s="5">
        <v>0</v>
      </c>
    </row>
    <row r="230" spans="1:4">
      <c r="A230">
        <v>228</v>
      </c>
      <c r="B230" s="23">
        <f t="shared" si="3"/>
        <v>12.8</v>
      </c>
      <c r="C230" s="23">
        <f t="shared" si="4"/>
        <v>1.8</v>
      </c>
      <c r="D230" s="5">
        <v>0</v>
      </c>
    </row>
    <row r="231" spans="1:4">
      <c r="A231">
        <v>229</v>
      </c>
      <c r="B231" s="23">
        <f t="shared" si="3"/>
        <v>12.816666666666666</v>
      </c>
      <c r="C231" s="23">
        <f t="shared" si="4"/>
        <v>1.8166666666666667</v>
      </c>
      <c r="D231" s="5">
        <v>0</v>
      </c>
    </row>
    <row r="232" spans="1:4">
      <c r="A232">
        <v>230</v>
      </c>
      <c r="B232" s="23">
        <f t="shared" si="3"/>
        <v>12.833333333333334</v>
      </c>
      <c r="C232" s="23">
        <f t="shared" si="4"/>
        <v>1.8333333333333335</v>
      </c>
      <c r="D232" s="5">
        <v>0</v>
      </c>
    </row>
    <row r="233" spans="1:4">
      <c r="A233">
        <v>231</v>
      </c>
      <c r="B233" s="23">
        <f t="shared" si="3"/>
        <v>12.85</v>
      </c>
      <c r="C233" s="23">
        <f t="shared" si="4"/>
        <v>1.85</v>
      </c>
      <c r="D233" s="5">
        <v>0</v>
      </c>
    </row>
    <row r="234" spans="1:4">
      <c r="A234">
        <v>232</v>
      </c>
      <c r="B234" s="23">
        <f t="shared" si="3"/>
        <v>12.866666666666667</v>
      </c>
      <c r="C234" s="23">
        <f t="shared" si="4"/>
        <v>1.8666666666666667</v>
      </c>
      <c r="D234" s="5">
        <v>0</v>
      </c>
    </row>
    <row r="235" spans="1:4">
      <c r="A235">
        <v>233</v>
      </c>
      <c r="B235" s="23">
        <f t="shared" si="3"/>
        <v>12.883333333333333</v>
      </c>
      <c r="C235" s="23">
        <f t="shared" si="4"/>
        <v>1.8833333333333333</v>
      </c>
      <c r="D235" s="5">
        <v>0</v>
      </c>
    </row>
    <row r="236" spans="1:4">
      <c r="A236">
        <v>234</v>
      </c>
      <c r="B236" s="23">
        <f t="shared" si="3"/>
        <v>12.9</v>
      </c>
      <c r="C236" s="23">
        <f t="shared" si="4"/>
        <v>1.9</v>
      </c>
      <c r="D236" s="5">
        <v>0</v>
      </c>
    </row>
    <row r="237" spans="1:4">
      <c r="A237">
        <v>235</v>
      </c>
      <c r="B237" s="23">
        <f t="shared" si="3"/>
        <v>12.916666666666666</v>
      </c>
      <c r="C237" s="23">
        <f t="shared" si="4"/>
        <v>1.9166666666666665</v>
      </c>
      <c r="D237" s="5">
        <v>0</v>
      </c>
    </row>
    <row r="238" spans="1:4">
      <c r="A238">
        <v>236</v>
      </c>
      <c r="B238" s="23">
        <f t="shared" si="3"/>
        <v>12.933333333333334</v>
      </c>
      <c r="C238" s="23">
        <f t="shared" si="4"/>
        <v>1.9333333333333333</v>
      </c>
      <c r="D238" s="5">
        <v>0</v>
      </c>
    </row>
    <row r="239" spans="1:4">
      <c r="A239">
        <v>237</v>
      </c>
      <c r="B239" s="23">
        <f t="shared" si="3"/>
        <v>12.95</v>
      </c>
      <c r="C239" s="23">
        <f t="shared" si="4"/>
        <v>1.95</v>
      </c>
      <c r="D239" s="5">
        <v>0</v>
      </c>
    </row>
    <row r="240" spans="1:4">
      <c r="A240">
        <v>238</v>
      </c>
      <c r="B240" s="23">
        <f t="shared" si="3"/>
        <v>12.966666666666667</v>
      </c>
      <c r="C240" s="23">
        <f t="shared" si="4"/>
        <v>1.9666666666666668</v>
      </c>
      <c r="D240" s="5">
        <v>0</v>
      </c>
    </row>
    <row r="241" spans="1:4">
      <c r="A241">
        <v>239</v>
      </c>
      <c r="B241" s="23">
        <f t="shared" si="3"/>
        <v>12.983333333333333</v>
      </c>
      <c r="C241" s="23">
        <f t="shared" si="4"/>
        <v>1.9833333333333334</v>
      </c>
      <c r="D241" s="5">
        <v>0</v>
      </c>
    </row>
    <row r="242" spans="1:4">
      <c r="A242">
        <v>240</v>
      </c>
      <c r="B242" s="4">
        <v>13</v>
      </c>
      <c r="C242" s="20">
        <v>2</v>
      </c>
      <c r="D242" s="5">
        <v>0</v>
      </c>
    </row>
    <row r="243" spans="1:4">
      <c r="A243">
        <v>241</v>
      </c>
      <c r="B243" s="4">
        <v>13</v>
      </c>
      <c r="C243">
        <f ca="1">$C$242-(A243-$A$242)*($C$242-$C$302)/60</f>
        <v>2</v>
      </c>
      <c r="D243" s="5">
        <v>0</v>
      </c>
    </row>
    <row r="244" spans="1:4">
      <c r="A244">
        <v>242</v>
      </c>
      <c r="B244" s="4">
        <v>13</v>
      </c>
      <c r="C244">
        <f t="shared" ref="C244:C302" ca="1" si="5">$C$242-(A244-$A$242)*($C$242-$C$302)/60</f>
        <v>2</v>
      </c>
      <c r="D244" s="5">
        <v>0</v>
      </c>
    </row>
    <row r="245" spans="1:4">
      <c r="A245">
        <v>243</v>
      </c>
      <c r="B245" s="4">
        <v>13</v>
      </c>
      <c r="C245">
        <f t="shared" ca="1" si="5"/>
        <v>2</v>
      </c>
      <c r="D245" s="5">
        <v>0</v>
      </c>
    </row>
    <row r="246" spans="1:4">
      <c r="A246">
        <v>244</v>
      </c>
      <c r="B246" s="4">
        <v>13</v>
      </c>
      <c r="C246">
        <f t="shared" ca="1" si="5"/>
        <v>2</v>
      </c>
      <c r="D246" s="5">
        <v>0</v>
      </c>
    </row>
    <row r="247" spans="1:4">
      <c r="A247">
        <v>245</v>
      </c>
      <c r="B247" s="4">
        <v>13</v>
      </c>
      <c r="C247">
        <f t="shared" ca="1" si="5"/>
        <v>2</v>
      </c>
      <c r="D247" s="5">
        <v>0</v>
      </c>
    </row>
    <row r="248" spans="1:4">
      <c r="A248">
        <v>246</v>
      </c>
      <c r="B248" s="4">
        <v>13</v>
      </c>
      <c r="C248">
        <f t="shared" ca="1" si="5"/>
        <v>2</v>
      </c>
      <c r="D248" s="5">
        <v>0</v>
      </c>
    </row>
    <row r="249" spans="1:4">
      <c r="A249">
        <v>247</v>
      </c>
      <c r="B249" s="4">
        <v>13</v>
      </c>
      <c r="C249">
        <f t="shared" ca="1" si="5"/>
        <v>2</v>
      </c>
      <c r="D249" s="5">
        <v>0</v>
      </c>
    </row>
    <row r="250" spans="1:4">
      <c r="A250">
        <v>248</v>
      </c>
      <c r="B250" s="4">
        <v>13</v>
      </c>
      <c r="C250">
        <f t="shared" ca="1" si="5"/>
        <v>2</v>
      </c>
      <c r="D250" s="5">
        <v>0</v>
      </c>
    </row>
    <row r="251" spans="1:4">
      <c r="A251">
        <v>249</v>
      </c>
      <c r="B251" s="4">
        <v>13</v>
      </c>
      <c r="C251">
        <f t="shared" ca="1" si="5"/>
        <v>2</v>
      </c>
      <c r="D251" s="5">
        <v>0</v>
      </c>
    </row>
    <row r="252" spans="1:4">
      <c r="A252">
        <v>250</v>
      </c>
      <c r="B252" s="4">
        <v>13</v>
      </c>
      <c r="C252">
        <f t="shared" ca="1" si="5"/>
        <v>2</v>
      </c>
      <c r="D252" s="5">
        <v>0</v>
      </c>
    </row>
    <row r="253" spans="1:4">
      <c r="A253">
        <v>251</v>
      </c>
      <c r="B253" s="4">
        <v>13</v>
      </c>
      <c r="C253">
        <f t="shared" ca="1" si="5"/>
        <v>2</v>
      </c>
      <c r="D253" s="5">
        <v>0</v>
      </c>
    </row>
    <row r="254" spans="1:4">
      <c r="A254">
        <v>252</v>
      </c>
      <c r="B254" s="4">
        <v>13</v>
      </c>
      <c r="C254">
        <f t="shared" ca="1" si="5"/>
        <v>2</v>
      </c>
      <c r="D254" s="5">
        <v>0</v>
      </c>
    </row>
    <row r="255" spans="1:4">
      <c r="A255">
        <v>253</v>
      </c>
      <c r="B255" s="4">
        <v>13</v>
      </c>
      <c r="C255">
        <f t="shared" ca="1" si="5"/>
        <v>2</v>
      </c>
      <c r="D255" s="5">
        <v>0</v>
      </c>
    </row>
    <row r="256" spans="1:4">
      <c r="A256">
        <v>254</v>
      </c>
      <c r="B256" s="4">
        <v>13</v>
      </c>
      <c r="C256">
        <f t="shared" ca="1" si="5"/>
        <v>2</v>
      </c>
      <c r="D256" s="5">
        <v>0</v>
      </c>
    </row>
    <row r="257" spans="1:4">
      <c r="A257">
        <v>255</v>
      </c>
      <c r="B257" s="4">
        <v>13</v>
      </c>
      <c r="C257">
        <f t="shared" ca="1" si="5"/>
        <v>2</v>
      </c>
      <c r="D257" s="5">
        <v>0</v>
      </c>
    </row>
    <row r="258" spans="1:4">
      <c r="A258">
        <v>256</v>
      </c>
      <c r="B258" s="4">
        <v>13</v>
      </c>
      <c r="C258">
        <f t="shared" ca="1" si="5"/>
        <v>2</v>
      </c>
      <c r="D258" s="5">
        <v>0</v>
      </c>
    </row>
    <row r="259" spans="1:4">
      <c r="A259">
        <v>257</v>
      </c>
      <c r="B259" s="4">
        <v>13</v>
      </c>
      <c r="C259">
        <f t="shared" ca="1" si="5"/>
        <v>2</v>
      </c>
      <c r="D259" s="5">
        <v>0</v>
      </c>
    </row>
    <row r="260" spans="1:4">
      <c r="A260">
        <v>258</v>
      </c>
      <c r="B260" s="4">
        <v>13</v>
      </c>
      <c r="C260">
        <f t="shared" ca="1" si="5"/>
        <v>2</v>
      </c>
      <c r="D260" s="5">
        <v>0</v>
      </c>
    </row>
    <row r="261" spans="1:4">
      <c r="A261">
        <v>259</v>
      </c>
      <c r="B261" s="4">
        <v>13</v>
      </c>
      <c r="C261">
        <f t="shared" ca="1" si="5"/>
        <v>2</v>
      </c>
      <c r="D261" s="5">
        <v>0</v>
      </c>
    </row>
    <row r="262" spans="1:4">
      <c r="A262">
        <v>260</v>
      </c>
      <c r="B262" s="4">
        <v>13</v>
      </c>
      <c r="C262">
        <f t="shared" ca="1" si="5"/>
        <v>2</v>
      </c>
      <c r="D262" s="5">
        <v>0</v>
      </c>
    </row>
    <row r="263" spans="1:4">
      <c r="A263">
        <v>261</v>
      </c>
      <c r="B263" s="4">
        <v>13</v>
      </c>
      <c r="C263">
        <f t="shared" ca="1" si="5"/>
        <v>2</v>
      </c>
      <c r="D263" s="5">
        <v>0</v>
      </c>
    </row>
    <row r="264" spans="1:4">
      <c r="A264">
        <v>262</v>
      </c>
      <c r="B264" s="4">
        <v>13</v>
      </c>
      <c r="C264">
        <f t="shared" ca="1" si="5"/>
        <v>2</v>
      </c>
      <c r="D264" s="5">
        <v>0</v>
      </c>
    </row>
    <row r="265" spans="1:4">
      <c r="A265">
        <v>263</v>
      </c>
      <c r="B265" s="4">
        <v>13</v>
      </c>
      <c r="C265">
        <f t="shared" ca="1" si="5"/>
        <v>2</v>
      </c>
      <c r="D265" s="5">
        <v>0</v>
      </c>
    </row>
    <row r="266" spans="1:4">
      <c r="A266">
        <v>264</v>
      </c>
      <c r="B266" s="4">
        <v>13</v>
      </c>
      <c r="C266">
        <f t="shared" ca="1" si="5"/>
        <v>2</v>
      </c>
      <c r="D266" s="5">
        <v>0</v>
      </c>
    </row>
    <row r="267" spans="1:4">
      <c r="A267">
        <v>265</v>
      </c>
      <c r="B267" s="4">
        <v>13</v>
      </c>
      <c r="C267">
        <f t="shared" ca="1" si="5"/>
        <v>2</v>
      </c>
      <c r="D267" s="5">
        <v>0</v>
      </c>
    </row>
    <row r="268" spans="1:4">
      <c r="A268">
        <v>266</v>
      </c>
      <c r="B268" s="4">
        <v>13</v>
      </c>
      <c r="C268">
        <f t="shared" ca="1" si="5"/>
        <v>2</v>
      </c>
      <c r="D268" s="5">
        <v>0</v>
      </c>
    </row>
    <row r="269" spans="1:4">
      <c r="A269">
        <v>267</v>
      </c>
      <c r="B269" s="4">
        <v>13</v>
      </c>
      <c r="C269">
        <f t="shared" ca="1" si="5"/>
        <v>2</v>
      </c>
      <c r="D269" s="5">
        <v>0</v>
      </c>
    </row>
    <row r="270" spans="1:4">
      <c r="A270">
        <v>268</v>
      </c>
      <c r="B270" s="4">
        <v>13</v>
      </c>
      <c r="C270">
        <f t="shared" ca="1" si="5"/>
        <v>2</v>
      </c>
      <c r="D270" s="5">
        <v>0</v>
      </c>
    </row>
    <row r="271" spans="1:4">
      <c r="A271">
        <v>269</v>
      </c>
      <c r="B271" s="4">
        <v>13</v>
      </c>
      <c r="C271">
        <f t="shared" ca="1" si="5"/>
        <v>2</v>
      </c>
      <c r="D271" s="5">
        <v>0</v>
      </c>
    </row>
    <row r="272" spans="1:4">
      <c r="A272">
        <v>270</v>
      </c>
      <c r="B272" s="4">
        <v>13</v>
      </c>
      <c r="C272">
        <f t="shared" ca="1" si="5"/>
        <v>2</v>
      </c>
      <c r="D272" s="5">
        <v>0</v>
      </c>
    </row>
    <row r="273" spans="1:4">
      <c r="A273">
        <v>271</v>
      </c>
      <c r="B273" s="4">
        <v>13</v>
      </c>
      <c r="C273">
        <f t="shared" ca="1" si="5"/>
        <v>2</v>
      </c>
      <c r="D273" s="5">
        <v>0</v>
      </c>
    </row>
    <row r="274" spans="1:4">
      <c r="A274">
        <v>272</v>
      </c>
      <c r="B274" s="4">
        <v>13</v>
      </c>
      <c r="C274">
        <f t="shared" ca="1" si="5"/>
        <v>2</v>
      </c>
      <c r="D274" s="5">
        <v>0</v>
      </c>
    </row>
    <row r="275" spans="1:4">
      <c r="A275">
        <v>273</v>
      </c>
      <c r="B275" s="4">
        <v>13</v>
      </c>
      <c r="C275">
        <f t="shared" ca="1" si="5"/>
        <v>2</v>
      </c>
      <c r="D275" s="5">
        <v>0</v>
      </c>
    </row>
    <row r="276" spans="1:4">
      <c r="A276">
        <v>274</v>
      </c>
      <c r="B276" s="4">
        <v>13</v>
      </c>
      <c r="C276">
        <f t="shared" ca="1" si="5"/>
        <v>2</v>
      </c>
      <c r="D276" s="5">
        <v>0</v>
      </c>
    </row>
    <row r="277" spans="1:4">
      <c r="A277">
        <v>275</v>
      </c>
      <c r="B277" s="4">
        <v>13</v>
      </c>
      <c r="C277">
        <f t="shared" ca="1" si="5"/>
        <v>2</v>
      </c>
      <c r="D277" s="5">
        <v>0</v>
      </c>
    </row>
    <row r="278" spans="1:4">
      <c r="A278">
        <v>276</v>
      </c>
      <c r="B278" s="4">
        <v>13</v>
      </c>
      <c r="C278">
        <f t="shared" ca="1" si="5"/>
        <v>2</v>
      </c>
      <c r="D278" s="5">
        <v>0</v>
      </c>
    </row>
    <row r="279" spans="1:4">
      <c r="A279">
        <v>277</v>
      </c>
      <c r="B279" s="4">
        <v>13</v>
      </c>
      <c r="C279">
        <f t="shared" ca="1" si="5"/>
        <v>2</v>
      </c>
      <c r="D279" s="5">
        <v>0</v>
      </c>
    </row>
    <row r="280" spans="1:4">
      <c r="A280">
        <v>278</v>
      </c>
      <c r="B280" s="4">
        <v>13</v>
      </c>
      <c r="C280">
        <f t="shared" ca="1" si="5"/>
        <v>2</v>
      </c>
      <c r="D280" s="5">
        <v>0</v>
      </c>
    </row>
    <row r="281" spans="1:4">
      <c r="A281">
        <v>279</v>
      </c>
      <c r="B281" s="4">
        <v>13</v>
      </c>
      <c r="C281">
        <f t="shared" ca="1" si="5"/>
        <v>2</v>
      </c>
      <c r="D281" s="5">
        <v>0</v>
      </c>
    </row>
    <row r="282" spans="1:4">
      <c r="A282">
        <v>280</v>
      </c>
      <c r="B282" s="4">
        <v>13</v>
      </c>
      <c r="C282">
        <f t="shared" ca="1" si="5"/>
        <v>2</v>
      </c>
      <c r="D282" s="5">
        <v>0</v>
      </c>
    </row>
    <row r="283" spans="1:4">
      <c r="A283">
        <v>281</v>
      </c>
      <c r="B283" s="4">
        <v>13</v>
      </c>
      <c r="C283">
        <f t="shared" ca="1" si="5"/>
        <v>2</v>
      </c>
      <c r="D283" s="5">
        <v>0</v>
      </c>
    </row>
    <row r="284" spans="1:4">
      <c r="A284">
        <v>282</v>
      </c>
      <c r="B284" s="4">
        <v>13</v>
      </c>
      <c r="C284">
        <f t="shared" ca="1" si="5"/>
        <v>2</v>
      </c>
      <c r="D284" s="5">
        <v>0</v>
      </c>
    </row>
    <row r="285" spans="1:4">
      <c r="A285">
        <v>283</v>
      </c>
      <c r="B285" s="4">
        <v>13</v>
      </c>
      <c r="C285">
        <f t="shared" ca="1" si="5"/>
        <v>2</v>
      </c>
      <c r="D285" s="5">
        <v>0</v>
      </c>
    </row>
    <row r="286" spans="1:4">
      <c r="A286">
        <v>284</v>
      </c>
      <c r="B286" s="4">
        <v>13</v>
      </c>
      <c r="C286">
        <f t="shared" ca="1" si="5"/>
        <v>2</v>
      </c>
      <c r="D286" s="5">
        <v>0</v>
      </c>
    </row>
    <row r="287" spans="1:4">
      <c r="A287">
        <v>285</v>
      </c>
      <c r="B287" s="4">
        <v>13</v>
      </c>
      <c r="C287">
        <f t="shared" ca="1" si="5"/>
        <v>2</v>
      </c>
      <c r="D287" s="5">
        <v>0</v>
      </c>
    </row>
    <row r="288" spans="1:4">
      <c r="A288">
        <v>286</v>
      </c>
      <c r="B288" s="4">
        <v>13</v>
      </c>
      <c r="C288">
        <f t="shared" ca="1" si="5"/>
        <v>2</v>
      </c>
      <c r="D288" s="5">
        <v>0</v>
      </c>
    </row>
    <row r="289" spans="1:4">
      <c r="A289">
        <v>287</v>
      </c>
      <c r="B289" s="4">
        <v>13</v>
      </c>
      <c r="C289">
        <f t="shared" ca="1" si="5"/>
        <v>2</v>
      </c>
      <c r="D289" s="5">
        <v>0</v>
      </c>
    </row>
    <row r="290" spans="1:4">
      <c r="A290">
        <v>288</v>
      </c>
      <c r="B290" s="4">
        <v>13</v>
      </c>
      <c r="C290">
        <f t="shared" ca="1" si="5"/>
        <v>2</v>
      </c>
      <c r="D290" s="5">
        <v>0</v>
      </c>
    </row>
    <row r="291" spans="1:4">
      <c r="A291">
        <v>289</v>
      </c>
      <c r="B291" s="4">
        <v>13</v>
      </c>
      <c r="C291">
        <f t="shared" ca="1" si="5"/>
        <v>2</v>
      </c>
      <c r="D291" s="5">
        <v>0</v>
      </c>
    </row>
    <row r="292" spans="1:4">
      <c r="A292">
        <v>290</v>
      </c>
      <c r="B292" s="4">
        <v>13</v>
      </c>
      <c r="C292">
        <f t="shared" ca="1" si="5"/>
        <v>2</v>
      </c>
      <c r="D292" s="5">
        <v>0</v>
      </c>
    </row>
    <row r="293" spans="1:4">
      <c r="A293">
        <v>291</v>
      </c>
      <c r="B293" s="4">
        <v>13</v>
      </c>
      <c r="C293">
        <f t="shared" ca="1" si="5"/>
        <v>2</v>
      </c>
      <c r="D293" s="5">
        <v>0</v>
      </c>
    </row>
    <row r="294" spans="1:4">
      <c r="A294">
        <v>292</v>
      </c>
      <c r="B294" s="4">
        <v>13</v>
      </c>
      <c r="C294">
        <f t="shared" ca="1" si="5"/>
        <v>2</v>
      </c>
      <c r="D294" s="5">
        <v>0</v>
      </c>
    </row>
    <row r="295" spans="1:4">
      <c r="A295">
        <v>293</v>
      </c>
      <c r="B295" s="4">
        <v>13</v>
      </c>
      <c r="C295">
        <f t="shared" ca="1" si="5"/>
        <v>2</v>
      </c>
      <c r="D295" s="5">
        <v>0</v>
      </c>
    </row>
    <row r="296" spans="1:4">
      <c r="A296">
        <v>294</v>
      </c>
      <c r="B296" s="4">
        <v>13</v>
      </c>
      <c r="C296">
        <f t="shared" ca="1" si="5"/>
        <v>2</v>
      </c>
      <c r="D296" s="5">
        <v>0</v>
      </c>
    </row>
    <row r="297" spans="1:4">
      <c r="A297">
        <v>295</v>
      </c>
      <c r="B297" s="4">
        <v>13</v>
      </c>
      <c r="C297">
        <f t="shared" ca="1" si="5"/>
        <v>2</v>
      </c>
      <c r="D297" s="5">
        <v>0</v>
      </c>
    </row>
    <row r="298" spans="1:4">
      <c r="A298">
        <v>296</v>
      </c>
      <c r="B298" s="4">
        <v>13</v>
      </c>
      <c r="C298">
        <f t="shared" ca="1" si="5"/>
        <v>2</v>
      </c>
      <c r="D298" s="5">
        <v>0</v>
      </c>
    </row>
    <row r="299" spans="1:4">
      <c r="A299">
        <v>297</v>
      </c>
      <c r="B299" s="4">
        <v>13</v>
      </c>
      <c r="C299">
        <f t="shared" ca="1" si="5"/>
        <v>2</v>
      </c>
      <c r="D299" s="5">
        <v>0</v>
      </c>
    </row>
    <row r="300" spans="1:4">
      <c r="A300">
        <v>298</v>
      </c>
      <c r="B300" s="4">
        <v>13</v>
      </c>
      <c r="C300">
        <f t="shared" ca="1" si="5"/>
        <v>2</v>
      </c>
      <c r="D300" s="5">
        <v>0</v>
      </c>
    </row>
    <row r="301" spans="1:4">
      <c r="A301">
        <v>299</v>
      </c>
      <c r="B301" s="4">
        <v>13</v>
      </c>
      <c r="C301">
        <f t="shared" ca="1" si="5"/>
        <v>2</v>
      </c>
      <c r="D301" s="5">
        <v>0</v>
      </c>
    </row>
    <row r="302" spans="1:4">
      <c r="A302">
        <v>300</v>
      </c>
      <c r="B302" s="4">
        <v>13</v>
      </c>
      <c r="C302">
        <f t="shared" ca="1" si="5"/>
        <v>2</v>
      </c>
      <c r="D302" s="5">
        <v>0</v>
      </c>
    </row>
    <row r="303" spans="1:4">
      <c r="A303">
        <v>301</v>
      </c>
      <c r="B303" s="23">
        <f>(A303-$A$302)*2/60+13</f>
        <v>13.033333333333333</v>
      </c>
      <c r="C303" s="23">
        <f>2-(A303-$A$302)/60</f>
        <v>1.9833333333333334</v>
      </c>
      <c r="D303" s="5">
        <v>0</v>
      </c>
    </row>
    <row r="304" spans="1:4">
      <c r="A304">
        <v>302</v>
      </c>
      <c r="B304" s="23">
        <f t="shared" ref="B304:B361" si="6">(A304-$A$302)*2/60+13</f>
        <v>13.066666666666666</v>
      </c>
      <c r="C304" s="23">
        <f t="shared" ref="C304:C361" si="7">2-(A304-$A$302)/60</f>
        <v>1.9666666666666666</v>
      </c>
      <c r="D304" s="5">
        <v>0</v>
      </c>
    </row>
    <row r="305" spans="1:4">
      <c r="A305">
        <v>303</v>
      </c>
      <c r="B305" s="23">
        <f t="shared" si="6"/>
        <v>13.1</v>
      </c>
      <c r="C305" s="23">
        <f t="shared" si="7"/>
        <v>1.95</v>
      </c>
      <c r="D305" s="5">
        <v>0</v>
      </c>
    </row>
    <row r="306" spans="1:4">
      <c r="A306">
        <v>304</v>
      </c>
      <c r="B306" s="23">
        <f t="shared" si="6"/>
        <v>13.133333333333333</v>
      </c>
      <c r="C306" s="23">
        <f t="shared" si="7"/>
        <v>1.9333333333333333</v>
      </c>
      <c r="D306" s="5">
        <v>0</v>
      </c>
    </row>
    <row r="307" spans="1:4">
      <c r="A307">
        <v>305</v>
      </c>
      <c r="B307" s="23">
        <f t="shared" si="6"/>
        <v>13.166666666666666</v>
      </c>
      <c r="C307" s="23">
        <f t="shared" si="7"/>
        <v>1.9166666666666667</v>
      </c>
      <c r="D307" s="5">
        <v>0</v>
      </c>
    </row>
    <row r="308" spans="1:4">
      <c r="A308">
        <v>306</v>
      </c>
      <c r="B308" s="23">
        <f t="shared" si="6"/>
        <v>13.2</v>
      </c>
      <c r="C308" s="23">
        <f t="shared" si="7"/>
        <v>1.9</v>
      </c>
      <c r="D308" s="5">
        <v>0</v>
      </c>
    </row>
    <row r="309" spans="1:4">
      <c r="A309">
        <v>307</v>
      </c>
      <c r="B309" s="23">
        <f t="shared" si="6"/>
        <v>13.233333333333333</v>
      </c>
      <c r="C309" s="23">
        <f t="shared" si="7"/>
        <v>1.8833333333333333</v>
      </c>
      <c r="D309" s="5">
        <v>0</v>
      </c>
    </row>
    <row r="310" spans="1:4">
      <c r="A310">
        <v>308</v>
      </c>
      <c r="B310" s="23">
        <f t="shared" si="6"/>
        <v>13.266666666666667</v>
      </c>
      <c r="C310" s="23">
        <f t="shared" si="7"/>
        <v>1.8666666666666667</v>
      </c>
      <c r="D310" s="5">
        <v>0</v>
      </c>
    </row>
    <row r="311" spans="1:4">
      <c r="A311">
        <v>309</v>
      </c>
      <c r="B311" s="23">
        <f t="shared" si="6"/>
        <v>13.3</v>
      </c>
      <c r="C311" s="23">
        <f t="shared" si="7"/>
        <v>1.85</v>
      </c>
      <c r="D311" s="5">
        <v>0</v>
      </c>
    </row>
    <row r="312" spans="1:4">
      <c r="A312">
        <v>310</v>
      </c>
      <c r="B312" s="23">
        <f t="shared" si="6"/>
        <v>13.333333333333334</v>
      </c>
      <c r="C312" s="23">
        <f t="shared" si="7"/>
        <v>1.8333333333333333</v>
      </c>
      <c r="D312" s="5">
        <v>0</v>
      </c>
    </row>
    <row r="313" spans="1:4">
      <c r="A313">
        <v>311</v>
      </c>
      <c r="B313" s="23">
        <f t="shared" si="6"/>
        <v>13.366666666666667</v>
      </c>
      <c r="C313" s="23">
        <f t="shared" si="7"/>
        <v>1.8166666666666667</v>
      </c>
      <c r="D313" s="5">
        <v>0</v>
      </c>
    </row>
    <row r="314" spans="1:4">
      <c r="A314">
        <v>312</v>
      </c>
      <c r="B314" s="23">
        <f t="shared" si="6"/>
        <v>13.4</v>
      </c>
      <c r="C314" s="23">
        <f t="shared" si="7"/>
        <v>1.8</v>
      </c>
      <c r="D314" s="5">
        <v>0</v>
      </c>
    </row>
    <row r="315" spans="1:4">
      <c r="A315">
        <v>313</v>
      </c>
      <c r="B315" s="23">
        <f t="shared" si="6"/>
        <v>13.433333333333334</v>
      </c>
      <c r="C315" s="23">
        <f t="shared" si="7"/>
        <v>1.7833333333333332</v>
      </c>
      <c r="D315" s="5">
        <v>0</v>
      </c>
    </row>
    <row r="316" spans="1:4">
      <c r="A316">
        <v>314</v>
      </c>
      <c r="B316" s="23">
        <f t="shared" si="6"/>
        <v>13.466666666666667</v>
      </c>
      <c r="C316" s="23">
        <f t="shared" si="7"/>
        <v>1.7666666666666666</v>
      </c>
      <c r="D316" s="5">
        <v>0</v>
      </c>
    </row>
    <row r="317" spans="1:4">
      <c r="A317">
        <v>315</v>
      </c>
      <c r="B317" s="23">
        <f t="shared" si="6"/>
        <v>13.5</v>
      </c>
      <c r="C317" s="23">
        <f t="shared" si="7"/>
        <v>1.75</v>
      </c>
      <c r="D317" s="5">
        <v>0</v>
      </c>
    </row>
    <row r="318" spans="1:4">
      <c r="A318">
        <v>316</v>
      </c>
      <c r="B318" s="23">
        <f t="shared" si="6"/>
        <v>13.533333333333333</v>
      </c>
      <c r="C318" s="23">
        <f t="shared" si="7"/>
        <v>1.7333333333333334</v>
      </c>
      <c r="D318" s="5">
        <v>0</v>
      </c>
    </row>
    <row r="319" spans="1:4">
      <c r="A319">
        <v>317</v>
      </c>
      <c r="B319" s="23">
        <f t="shared" si="6"/>
        <v>13.566666666666666</v>
      </c>
      <c r="C319" s="23">
        <f t="shared" si="7"/>
        <v>1.7166666666666668</v>
      </c>
      <c r="D319" s="5">
        <v>0</v>
      </c>
    </row>
    <row r="320" spans="1:4">
      <c r="A320">
        <v>318</v>
      </c>
      <c r="B320" s="23">
        <f t="shared" si="6"/>
        <v>13.6</v>
      </c>
      <c r="C320" s="23">
        <f t="shared" si="7"/>
        <v>1.7</v>
      </c>
      <c r="D320" s="5">
        <v>0</v>
      </c>
    </row>
    <row r="321" spans="1:4">
      <c r="A321">
        <v>319</v>
      </c>
      <c r="B321" s="23">
        <f t="shared" si="6"/>
        <v>13.633333333333333</v>
      </c>
      <c r="C321" s="23">
        <f t="shared" si="7"/>
        <v>1.6833333333333333</v>
      </c>
      <c r="D321" s="5">
        <v>0</v>
      </c>
    </row>
    <row r="322" spans="1:4">
      <c r="A322">
        <v>320</v>
      </c>
      <c r="B322" s="23">
        <f t="shared" si="6"/>
        <v>13.666666666666666</v>
      </c>
      <c r="C322" s="23">
        <f t="shared" si="7"/>
        <v>1.6666666666666667</v>
      </c>
      <c r="D322" s="5">
        <v>0</v>
      </c>
    </row>
    <row r="323" spans="1:4">
      <c r="A323">
        <v>321</v>
      </c>
      <c r="B323" s="23">
        <f t="shared" si="6"/>
        <v>13.7</v>
      </c>
      <c r="C323" s="23">
        <f t="shared" si="7"/>
        <v>1.65</v>
      </c>
      <c r="D323" s="5">
        <v>0</v>
      </c>
    </row>
    <row r="324" spans="1:4">
      <c r="A324">
        <v>322</v>
      </c>
      <c r="B324" s="23">
        <f t="shared" si="6"/>
        <v>13.733333333333333</v>
      </c>
      <c r="C324" s="23">
        <f t="shared" si="7"/>
        <v>1.6333333333333333</v>
      </c>
      <c r="D324" s="5">
        <v>0</v>
      </c>
    </row>
    <row r="325" spans="1:4">
      <c r="A325">
        <v>323</v>
      </c>
      <c r="B325" s="23">
        <f t="shared" si="6"/>
        <v>13.766666666666667</v>
      </c>
      <c r="C325" s="23">
        <f t="shared" si="7"/>
        <v>1.6166666666666667</v>
      </c>
      <c r="D325" s="5">
        <v>0</v>
      </c>
    </row>
    <row r="326" spans="1:4">
      <c r="A326">
        <v>324</v>
      </c>
      <c r="B326" s="23">
        <f t="shared" si="6"/>
        <v>13.8</v>
      </c>
      <c r="C326" s="23">
        <f t="shared" si="7"/>
        <v>1.6</v>
      </c>
      <c r="D326" s="5">
        <v>0</v>
      </c>
    </row>
    <row r="327" spans="1:4">
      <c r="A327">
        <v>325</v>
      </c>
      <c r="B327" s="23">
        <f t="shared" si="6"/>
        <v>13.833333333333334</v>
      </c>
      <c r="C327" s="23">
        <f t="shared" si="7"/>
        <v>1.5833333333333333</v>
      </c>
      <c r="D327" s="5">
        <v>0</v>
      </c>
    </row>
    <row r="328" spans="1:4">
      <c r="A328">
        <v>326</v>
      </c>
      <c r="B328" s="23">
        <f t="shared" si="6"/>
        <v>13.866666666666667</v>
      </c>
      <c r="C328" s="23">
        <f t="shared" si="7"/>
        <v>1.5666666666666667</v>
      </c>
      <c r="D328" s="5">
        <v>0</v>
      </c>
    </row>
    <row r="329" spans="1:4">
      <c r="A329">
        <v>327</v>
      </c>
      <c r="B329" s="23">
        <f t="shared" si="6"/>
        <v>13.9</v>
      </c>
      <c r="C329" s="23">
        <f t="shared" si="7"/>
        <v>1.55</v>
      </c>
      <c r="D329" s="5">
        <v>0</v>
      </c>
    </row>
    <row r="330" spans="1:4">
      <c r="A330">
        <v>328</v>
      </c>
      <c r="B330" s="23">
        <f t="shared" si="6"/>
        <v>13.933333333333334</v>
      </c>
      <c r="C330" s="23">
        <f t="shared" si="7"/>
        <v>1.5333333333333332</v>
      </c>
      <c r="D330" s="5">
        <v>0</v>
      </c>
    </row>
    <row r="331" spans="1:4">
      <c r="A331">
        <v>329</v>
      </c>
      <c r="B331" s="23">
        <f t="shared" si="6"/>
        <v>13.966666666666667</v>
      </c>
      <c r="C331" s="23">
        <f t="shared" si="7"/>
        <v>1.5166666666666666</v>
      </c>
      <c r="D331" s="5">
        <v>0</v>
      </c>
    </row>
    <row r="332" spans="1:4">
      <c r="A332">
        <v>330</v>
      </c>
      <c r="B332" s="23">
        <f t="shared" si="6"/>
        <v>14</v>
      </c>
      <c r="C332" s="23">
        <f t="shared" si="7"/>
        <v>1.5</v>
      </c>
      <c r="D332" s="5">
        <v>0</v>
      </c>
    </row>
    <row r="333" spans="1:4">
      <c r="A333">
        <v>331</v>
      </c>
      <c r="B333" s="23">
        <f t="shared" si="6"/>
        <v>14.033333333333333</v>
      </c>
      <c r="C333" s="23">
        <f t="shared" si="7"/>
        <v>1.4833333333333334</v>
      </c>
      <c r="D333" s="5">
        <v>0</v>
      </c>
    </row>
    <row r="334" spans="1:4">
      <c r="A334">
        <v>332</v>
      </c>
      <c r="B334" s="23">
        <f t="shared" si="6"/>
        <v>14.066666666666666</v>
      </c>
      <c r="C334" s="23">
        <f t="shared" si="7"/>
        <v>1.4666666666666668</v>
      </c>
      <c r="D334" s="5">
        <v>0</v>
      </c>
    </row>
    <row r="335" spans="1:4">
      <c r="A335">
        <v>333</v>
      </c>
      <c r="B335" s="23">
        <f t="shared" si="6"/>
        <v>14.1</v>
      </c>
      <c r="C335" s="23">
        <f t="shared" si="7"/>
        <v>1.45</v>
      </c>
      <c r="D335" s="5">
        <v>0</v>
      </c>
    </row>
    <row r="336" spans="1:4">
      <c r="A336">
        <v>334</v>
      </c>
      <c r="B336" s="23">
        <f t="shared" si="6"/>
        <v>14.133333333333333</v>
      </c>
      <c r="C336" s="23">
        <f t="shared" si="7"/>
        <v>1.4333333333333333</v>
      </c>
      <c r="D336" s="5">
        <v>0</v>
      </c>
    </row>
    <row r="337" spans="1:4">
      <c r="A337">
        <v>335</v>
      </c>
      <c r="B337" s="23">
        <f t="shared" si="6"/>
        <v>14.166666666666666</v>
      </c>
      <c r="C337" s="23">
        <f t="shared" si="7"/>
        <v>1.4166666666666665</v>
      </c>
      <c r="D337" s="5">
        <v>0</v>
      </c>
    </row>
    <row r="338" spans="1:4">
      <c r="A338">
        <v>336</v>
      </c>
      <c r="B338" s="23">
        <f t="shared" si="6"/>
        <v>14.2</v>
      </c>
      <c r="C338" s="23">
        <f t="shared" si="7"/>
        <v>1.4</v>
      </c>
      <c r="D338" s="5">
        <v>0</v>
      </c>
    </row>
    <row r="339" spans="1:4">
      <c r="A339">
        <v>337</v>
      </c>
      <c r="B339" s="23">
        <f t="shared" si="6"/>
        <v>14.233333333333334</v>
      </c>
      <c r="C339" s="23">
        <f t="shared" si="7"/>
        <v>1.3833333333333333</v>
      </c>
      <c r="D339" s="5">
        <v>0</v>
      </c>
    </row>
    <row r="340" spans="1:4">
      <c r="A340">
        <v>338</v>
      </c>
      <c r="B340" s="23">
        <f t="shared" si="6"/>
        <v>14.266666666666666</v>
      </c>
      <c r="C340" s="23">
        <f t="shared" si="7"/>
        <v>1.3666666666666667</v>
      </c>
      <c r="D340" s="5">
        <v>0</v>
      </c>
    </row>
    <row r="341" spans="1:4">
      <c r="A341">
        <v>339</v>
      </c>
      <c r="B341" s="23">
        <f t="shared" si="6"/>
        <v>14.3</v>
      </c>
      <c r="C341" s="23">
        <f t="shared" si="7"/>
        <v>1.35</v>
      </c>
      <c r="D341" s="5">
        <v>0</v>
      </c>
    </row>
    <row r="342" spans="1:4">
      <c r="A342">
        <v>340</v>
      </c>
      <c r="B342" s="23">
        <f t="shared" si="6"/>
        <v>14.333333333333334</v>
      </c>
      <c r="C342" s="23">
        <f t="shared" si="7"/>
        <v>1.3333333333333335</v>
      </c>
      <c r="D342" s="5">
        <v>0</v>
      </c>
    </row>
    <row r="343" spans="1:4">
      <c r="A343">
        <v>341</v>
      </c>
      <c r="B343" s="23">
        <f t="shared" si="6"/>
        <v>14.366666666666667</v>
      </c>
      <c r="C343" s="23">
        <f t="shared" si="7"/>
        <v>1.3166666666666667</v>
      </c>
      <c r="D343" s="5">
        <v>0</v>
      </c>
    </row>
    <row r="344" spans="1:4">
      <c r="A344">
        <v>342</v>
      </c>
      <c r="B344" s="23">
        <f t="shared" si="6"/>
        <v>14.4</v>
      </c>
      <c r="C344" s="23">
        <f t="shared" si="7"/>
        <v>1.3</v>
      </c>
      <c r="D344" s="5">
        <v>0</v>
      </c>
    </row>
    <row r="345" spans="1:4">
      <c r="A345">
        <v>343</v>
      </c>
      <c r="B345" s="23">
        <f t="shared" si="6"/>
        <v>14.433333333333334</v>
      </c>
      <c r="C345" s="23">
        <f t="shared" si="7"/>
        <v>1.2833333333333332</v>
      </c>
      <c r="D345" s="5">
        <v>0</v>
      </c>
    </row>
    <row r="346" spans="1:4">
      <c r="A346">
        <v>344</v>
      </c>
      <c r="B346" s="23">
        <f t="shared" si="6"/>
        <v>14.466666666666667</v>
      </c>
      <c r="C346" s="23">
        <f t="shared" si="7"/>
        <v>1.2666666666666666</v>
      </c>
      <c r="D346" s="5">
        <v>0</v>
      </c>
    </row>
    <row r="347" spans="1:4">
      <c r="A347">
        <v>345</v>
      </c>
      <c r="B347" s="23">
        <f t="shared" si="6"/>
        <v>14.5</v>
      </c>
      <c r="C347" s="23">
        <f t="shared" si="7"/>
        <v>1.25</v>
      </c>
      <c r="D347" s="5">
        <v>0</v>
      </c>
    </row>
    <row r="348" spans="1:4">
      <c r="A348">
        <v>346</v>
      </c>
      <c r="B348" s="23">
        <f t="shared" si="6"/>
        <v>14.533333333333333</v>
      </c>
      <c r="C348" s="23">
        <f t="shared" si="7"/>
        <v>1.2333333333333334</v>
      </c>
      <c r="D348" s="5">
        <v>0</v>
      </c>
    </row>
    <row r="349" spans="1:4">
      <c r="A349">
        <v>347</v>
      </c>
      <c r="B349" s="23">
        <f t="shared" si="6"/>
        <v>14.566666666666666</v>
      </c>
      <c r="C349" s="23">
        <f t="shared" si="7"/>
        <v>1.2166666666666668</v>
      </c>
      <c r="D349" s="5">
        <v>0</v>
      </c>
    </row>
    <row r="350" spans="1:4">
      <c r="A350">
        <v>348</v>
      </c>
      <c r="B350" s="23">
        <f t="shared" si="6"/>
        <v>14.6</v>
      </c>
      <c r="C350" s="23">
        <f t="shared" si="7"/>
        <v>1.2</v>
      </c>
      <c r="D350" s="5">
        <v>0</v>
      </c>
    </row>
    <row r="351" spans="1:4">
      <c r="A351">
        <v>349</v>
      </c>
      <c r="B351" s="23">
        <f t="shared" si="6"/>
        <v>14.633333333333333</v>
      </c>
      <c r="C351" s="23">
        <f t="shared" si="7"/>
        <v>1.1833333333333333</v>
      </c>
      <c r="D351" s="5">
        <v>0</v>
      </c>
    </row>
    <row r="352" spans="1:4">
      <c r="A352">
        <v>350</v>
      </c>
      <c r="B352" s="23">
        <f t="shared" si="6"/>
        <v>14.666666666666666</v>
      </c>
      <c r="C352" s="23">
        <f t="shared" si="7"/>
        <v>1.1666666666666665</v>
      </c>
      <c r="D352" s="5">
        <v>0</v>
      </c>
    </row>
    <row r="353" spans="1:4">
      <c r="A353">
        <v>351</v>
      </c>
      <c r="B353" s="23">
        <f t="shared" si="6"/>
        <v>14.7</v>
      </c>
      <c r="C353" s="23">
        <f t="shared" si="7"/>
        <v>1.1499999999999999</v>
      </c>
      <c r="D353" s="5">
        <v>0</v>
      </c>
    </row>
    <row r="354" spans="1:4">
      <c r="A354">
        <v>352</v>
      </c>
      <c r="B354" s="23">
        <f t="shared" si="6"/>
        <v>14.733333333333334</v>
      </c>
      <c r="C354" s="23">
        <f t="shared" si="7"/>
        <v>1.1333333333333333</v>
      </c>
      <c r="D354" s="5">
        <v>0</v>
      </c>
    </row>
    <row r="355" spans="1:4">
      <c r="A355">
        <v>353</v>
      </c>
      <c r="B355" s="23">
        <f t="shared" si="6"/>
        <v>14.766666666666666</v>
      </c>
      <c r="C355" s="23">
        <f t="shared" si="7"/>
        <v>1.1166666666666667</v>
      </c>
      <c r="D355" s="5">
        <v>0</v>
      </c>
    </row>
    <row r="356" spans="1:4">
      <c r="A356">
        <v>354</v>
      </c>
      <c r="B356" s="23">
        <f t="shared" si="6"/>
        <v>14.8</v>
      </c>
      <c r="C356" s="23">
        <f t="shared" si="7"/>
        <v>1.1000000000000001</v>
      </c>
      <c r="D356" s="5">
        <v>0</v>
      </c>
    </row>
    <row r="357" spans="1:4">
      <c r="A357">
        <v>355</v>
      </c>
      <c r="B357" s="23">
        <f t="shared" si="6"/>
        <v>14.833333333333334</v>
      </c>
      <c r="C357" s="23">
        <f t="shared" si="7"/>
        <v>1.0833333333333335</v>
      </c>
      <c r="D357" s="5">
        <v>0</v>
      </c>
    </row>
    <row r="358" spans="1:4">
      <c r="A358">
        <v>356</v>
      </c>
      <c r="B358" s="23">
        <f t="shared" si="6"/>
        <v>14.866666666666667</v>
      </c>
      <c r="C358" s="23">
        <f t="shared" si="7"/>
        <v>1.0666666666666667</v>
      </c>
      <c r="D358" s="5">
        <v>0</v>
      </c>
    </row>
    <row r="359" spans="1:4">
      <c r="A359">
        <v>357</v>
      </c>
      <c r="B359" s="23">
        <f t="shared" si="6"/>
        <v>14.9</v>
      </c>
      <c r="C359" s="23">
        <f t="shared" si="7"/>
        <v>1.05</v>
      </c>
      <c r="D359" s="5">
        <v>0</v>
      </c>
    </row>
    <row r="360" spans="1:4">
      <c r="A360">
        <v>358</v>
      </c>
      <c r="B360" s="23">
        <f t="shared" si="6"/>
        <v>14.933333333333334</v>
      </c>
      <c r="C360" s="23">
        <f t="shared" si="7"/>
        <v>1.0333333333333332</v>
      </c>
      <c r="D360">
        <v>0</v>
      </c>
    </row>
    <row r="361" spans="1:4">
      <c r="A361">
        <v>359</v>
      </c>
      <c r="B361" s="23">
        <f t="shared" si="6"/>
        <v>14.966666666666667</v>
      </c>
      <c r="C361" s="23">
        <f t="shared" si="7"/>
        <v>1.0166666666666666</v>
      </c>
      <c r="D361">
        <v>0</v>
      </c>
    </row>
    <row r="362" spans="1:4">
      <c r="A362">
        <v>360</v>
      </c>
      <c r="B362" s="4">
        <v>15</v>
      </c>
      <c r="C362" s="20">
        <v>1</v>
      </c>
      <c r="D362" s="5">
        <v>0</v>
      </c>
    </row>
    <row r="363" spans="1:4">
      <c r="A363">
        <v>361</v>
      </c>
      <c r="B363" s="23">
        <f>(A363-$A$362)/60*2+15</f>
        <v>15.033333333333333</v>
      </c>
      <c r="C363" s="20">
        <v>1</v>
      </c>
      <c r="D363" s="23">
        <f>$D$362-(A363-$A$362)*($D$362-$D$422)/60</f>
        <v>1.1166666666666667</v>
      </c>
    </row>
    <row r="364" spans="1:4">
      <c r="A364">
        <v>362</v>
      </c>
      <c r="B364" s="23">
        <f t="shared" ref="B364:B421" si="8">(A364-$A$362)/60*2+15</f>
        <v>15.066666666666666</v>
      </c>
      <c r="C364" s="20">
        <v>1</v>
      </c>
      <c r="D364" s="23">
        <f t="shared" ref="D364:D421" si="9">$D$362-(A364-$A$362)*($D$362-$D$422)/60</f>
        <v>2.2333333333333334</v>
      </c>
    </row>
    <row r="365" spans="1:4">
      <c r="A365">
        <v>363</v>
      </c>
      <c r="B365" s="23">
        <f t="shared" si="8"/>
        <v>15.1</v>
      </c>
      <c r="C365" s="20">
        <v>1</v>
      </c>
      <c r="D365" s="23">
        <f t="shared" si="9"/>
        <v>3.35</v>
      </c>
    </row>
    <row r="366" spans="1:4">
      <c r="A366">
        <v>364</v>
      </c>
      <c r="B366" s="23">
        <f t="shared" si="8"/>
        <v>15.133333333333333</v>
      </c>
      <c r="C366" s="20">
        <v>1</v>
      </c>
      <c r="D366" s="23">
        <f t="shared" si="9"/>
        <v>4.4666666666666668</v>
      </c>
    </row>
    <row r="367" spans="1:4">
      <c r="A367">
        <v>365</v>
      </c>
      <c r="B367" s="23">
        <f t="shared" si="8"/>
        <v>15.166666666666666</v>
      </c>
      <c r="C367" s="20">
        <v>1</v>
      </c>
      <c r="D367" s="23">
        <f t="shared" si="9"/>
        <v>5.583333333333333</v>
      </c>
    </row>
    <row r="368" spans="1:4">
      <c r="A368">
        <v>366</v>
      </c>
      <c r="B368" s="23">
        <f t="shared" si="8"/>
        <v>15.2</v>
      </c>
      <c r="C368" s="20">
        <v>1</v>
      </c>
      <c r="D368" s="23">
        <f t="shared" si="9"/>
        <v>6.7</v>
      </c>
    </row>
    <row r="369" spans="1:4">
      <c r="A369">
        <v>367</v>
      </c>
      <c r="B369" s="23">
        <f t="shared" si="8"/>
        <v>15.233333333333333</v>
      </c>
      <c r="C369" s="20">
        <v>1</v>
      </c>
      <c r="D369" s="23">
        <f t="shared" si="9"/>
        <v>7.8166666666666664</v>
      </c>
    </row>
    <row r="370" spans="1:4">
      <c r="A370">
        <v>368</v>
      </c>
      <c r="B370" s="23">
        <f t="shared" si="8"/>
        <v>15.266666666666667</v>
      </c>
      <c r="C370" s="20">
        <v>1</v>
      </c>
      <c r="D370" s="23">
        <f t="shared" si="9"/>
        <v>8.9333333333333336</v>
      </c>
    </row>
    <row r="371" spans="1:4">
      <c r="A371">
        <v>369</v>
      </c>
      <c r="B371" s="23">
        <f t="shared" si="8"/>
        <v>15.3</v>
      </c>
      <c r="C371" s="20">
        <v>1</v>
      </c>
      <c r="D371" s="23">
        <f t="shared" si="9"/>
        <v>10.050000000000001</v>
      </c>
    </row>
    <row r="372" spans="1:4">
      <c r="A372">
        <v>370</v>
      </c>
      <c r="B372" s="23">
        <f t="shared" si="8"/>
        <v>15.333333333333334</v>
      </c>
      <c r="C372" s="20">
        <v>1</v>
      </c>
      <c r="D372" s="23">
        <f t="shared" si="9"/>
        <v>11.166666666666666</v>
      </c>
    </row>
    <row r="373" spans="1:4">
      <c r="A373">
        <v>371</v>
      </c>
      <c r="B373" s="23">
        <f t="shared" si="8"/>
        <v>15.366666666666667</v>
      </c>
      <c r="C373" s="20">
        <v>1</v>
      </c>
      <c r="D373" s="23">
        <f t="shared" si="9"/>
        <v>12.283333333333333</v>
      </c>
    </row>
    <row r="374" spans="1:4">
      <c r="A374">
        <v>372</v>
      </c>
      <c r="B374" s="23">
        <f t="shared" si="8"/>
        <v>15.4</v>
      </c>
      <c r="C374" s="20">
        <v>1</v>
      </c>
      <c r="D374" s="23">
        <f t="shared" si="9"/>
        <v>13.4</v>
      </c>
    </row>
    <row r="375" spans="1:4">
      <c r="A375">
        <v>373</v>
      </c>
      <c r="B375" s="23">
        <f t="shared" si="8"/>
        <v>15.433333333333334</v>
      </c>
      <c r="C375" s="20">
        <v>1</v>
      </c>
      <c r="D375" s="23">
        <f t="shared" si="9"/>
        <v>14.516666666666667</v>
      </c>
    </row>
    <row r="376" spans="1:4">
      <c r="A376">
        <v>374</v>
      </c>
      <c r="B376" s="23">
        <f t="shared" si="8"/>
        <v>15.466666666666667</v>
      </c>
      <c r="C376" s="20">
        <v>1</v>
      </c>
      <c r="D376" s="23">
        <f t="shared" si="9"/>
        <v>15.633333333333333</v>
      </c>
    </row>
    <row r="377" spans="1:4">
      <c r="A377">
        <v>375</v>
      </c>
      <c r="B377" s="23">
        <f t="shared" si="8"/>
        <v>15.5</v>
      </c>
      <c r="C377" s="20">
        <v>1</v>
      </c>
      <c r="D377" s="23">
        <f t="shared" si="9"/>
        <v>16.75</v>
      </c>
    </row>
    <row r="378" spans="1:4">
      <c r="A378">
        <v>376</v>
      </c>
      <c r="B378" s="23">
        <f t="shared" si="8"/>
        <v>15.533333333333333</v>
      </c>
      <c r="C378" s="20">
        <v>1</v>
      </c>
      <c r="D378" s="23">
        <f t="shared" si="9"/>
        <v>17.866666666666667</v>
      </c>
    </row>
    <row r="379" spans="1:4">
      <c r="A379">
        <v>377</v>
      </c>
      <c r="B379" s="23">
        <f t="shared" si="8"/>
        <v>15.566666666666666</v>
      </c>
      <c r="C379" s="20">
        <v>1</v>
      </c>
      <c r="D379" s="23">
        <f t="shared" si="9"/>
        <v>18.983333333333334</v>
      </c>
    </row>
    <row r="380" spans="1:4">
      <c r="A380">
        <v>378</v>
      </c>
      <c r="B380" s="23">
        <f t="shared" si="8"/>
        <v>15.6</v>
      </c>
      <c r="C380" s="20">
        <v>1</v>
      </c>
      <c r="D380" s="23">
        <f t="shared" si="9"/>
        <v>20.100000000000001</v>
      </c>
    </row>
    <row r="381" spans="1:4">
      <c r="A381">
        <v>379</v>
      </c>
      <c r="B381" s="23">
        <f t="shared" si="8"/>
        <v>15.633333333333333</v>
      </c>
      <c r="C381" s="20">
        <v>1</v>
      </c>
      <c r="D381" s="23">
        <f t="shared" si="9"/>
        <v>21.216666666666665</v>
      </c>
    </row>
    <row r="382" spans="1:4">
      <c r="A382">
        <v>380</v>
      </c>
      <c r="B382" s="23">
        <f t="shared" si="8"/>
        <v>15.666666666666666</v>
      </c>
      <c r="C382" s="20">
        <v>1</v>
      </c>
      <c r="D382" s="23">
        <f t="shared" si="9"/>
        <v>22.333333333333332</v>
      </c>
    </row>
    <row r="383" spans="1:4">
      <c r="A383">
        <v>381</v>
      </c>
      <c r="B383" s="23">
        <f t="shared" si="8"/>
        <v>15.7</v>
      </c>
      <c r="C383" s="20">
        <v>1</v>
      </c>
      <c r="D383" s="23">
        <f t="shared" si="9"/>
        <v>23.45</v>
      </c>
    </row>
    <row r="384" spans="1:4">
      <c r="A384">
        <v>382</v>
      </c>
      <c r="B384" s="23">
        <f t="shared" si="8"/>
        <v>15.733333333333333</v>
      </c>
      <c r="C384" s="20">
        <v>1</v>
      </c>
      <c r="D384" s="23">
        <f t="shared" si="9"/>
        <v>24.566666666666666</v>
      </c>
    </row>
    <row r="385" spans="1:4">
      <c r="A385">
        <v>383</v>
      </c>
      <c r="B385" s="23">
        <f t="shared" si="8"/>
        <v>15.766666666666667</v>
      </c>
      <c r="C385" s="20">
        <v>1</v>
      </c>
      <c r="D385" s="23">
        <f t="shared" si="9"/>
        <v>25.683333333333334</v>
      </c>
    </row>
    <row r="386" spans="1:4">
      <c r="A386">
        <v>384</v>
      </c>
      <c r="B386" s="23">
        <f t="shared" si="8"/>
        <v>15.8</v>
      </c>
      <c r="C386" s="20">
        <v>1</v>
      </c>
      <c r="D386" s="23">
        <f t="shared" si="9"/>
        <v>26.8</v>
      </c>
    </row>
    <row r="387" spans="1:4">
      <c r="A387">
        <v>385</v>
      </c>
      <c r="B387" s="23">
        <f t="shared" si="8"/>
        <v>15.833333333333334</v>
      </c>
      <c r="C387" s="20">
        <v>1</v>
      </c>
      <c r="D387" s="23">
        <f t="shared" si="9"/>
        <v>27.916666666666668</v>
      </c>
    </row>
    <row r="388" spans="1:4">
      <c r="A388">
        <v>386</v>
      </c>
      <c r="B388" s="23">
        <f t="shared" si="8"/>
        <v>15.866666666666667</v>
      </c>
      <c r="C388" s="20">
        <v>1</v>
      </c>
      <c r="D388" s="23">
        <f t="shared" si="9"/>
        <v>29.033333333333335</v>
      </c>
    </row>
    <row r="389" spans="1:4">
      <c r="A389">
        <v>387</v>
      </c>
      <c r="B389" s="23">
        <f t="shared" si="8"/>
        <v>15.9</v>
      </c>
      <c r="C389" s="20">
        <v>1</v>
      </c>
      <c r="D389" s="23">
        <f t="shared" si="9"/>
        <v>30.15</v>
      </c>
    </row>
    <row r="390" spans="1:4">
      <c r="A390">
        <v>388</v>
      </c>
      <c r="B390" s="23">
        <f t="shared" si="8"/>
        <v>15.933333333333334</v>
      </c>
      <c r="C390" s="20">
        <v>1</v>
      </c>
      <c r="D390" s="23">
        <f t="shared" si="9"/>
        <v>31.266666666666666</v>
      </c>
    </row>
    <row r="391" spans="1:4">
      <c r="A391">
        <v>389</v>
      </c>
      <c r="B391" s="23">
        <f t="shared" si="8"/>
        <v>15.966666666666667</v>
      </c>
      <c r="C391" s="20">
        <v>1</v>
      </c>
      <c r="D391" s="23">
        <f t="shared" si="9"/>
        <v>32.383333333333333</v>
      </c>
    </row>
    <row r="392" spans="1:4">
      <c r="A392">
        <v>390</v>
      </c>
      <c r="B392" s="23">
        <f t="shared" si="8"/>
        <v>16</v>
      </c>
      <c r="C392" s="20">
        <v>1</v>
      </c>
      <c r="D392" s="23">
        <f t="shared" si="9"/>
        <v>33.5</v>
      </c>
    </row>
    <row r="393" spans="1:4">
      <c r="A393">
        <v>391</v>
      </c>
      <c r="B393" s="23">
        <f t="shared" si="8"/>
        <v>16.033333333333335</v>
      </c>
      <c r="C393" s="20">
        <v>1</v>
      </c>
      <c r="D393" s="23">
        <f t="shared" si="9"/>
        <v>34.616666666666667</v>
      </c>
    </row>
    <row r="394" spans="1:4">
      <c r="A394">
        <v>392</v>
      </c>
      <c r="B394" s="23">
        <f t="shared" si="8"/>
        <v>16.066666666666666</v>
      </c>
      <c r="C394" s="20">
        <v>1</v>
      </c>
      <c r="D394" s="23">
        <f t="shared" si="9"/>
        <v>35.733333333333334</v>
      </c>
    </row>
    <row r="395" spans="1:4">
      <c r="A395">
        <v>393</v>
      </c>
      <c r="B395" s="23">
        <f t="shared" si="8"/>
        <v>16.100000000000001</v>
      </c>
      <c r="C395" s="20">
        <v>1</v>
      </c>
      <c r="D395" s="23">
        <f t="shared" si="9"/>
        <v>36.85</v>
      </c>
    </row>
    <row r="396" spans="1:4">
      <c r="A396">
        <v>394</v>
      </c>
      <c r="B396" s="23">
        <f t="shared" si="8"/>
        <v>16.133333333333333</v>
      </c>
      <c r="C396" s="20">
        <v>1</v>
      </c>
      <c r="D396" s="23">
        <f t="shared" si="9"/>
        <v>37.966666666666669</v>
      </c>
    </row>
    <row r="397" spans="1:4">
      <c r="A397">
        <v>395</v>
      </c>
      <c r="B397" s="23">
        <f t="shared" si="8"/>
        <v>16.166666666666668</v>
      </c>
      <c r="C397" s="20">
        <v>1</v>
      </c>
      <c r="D397" s="23">
        <f t="shared" si="9"/>
        <v>39.083333333333336</v>
      </c>
    </row>
    <row r="398" spans="1:4">
      <c r="A398">
        <v>396</v>
      </c>
      <c r="B398" s="23">
        <f t="shared" si="8"/>
        <v>16.2</v>
      </c>
      <c r="C398" s="20">
        <v>1</v>
      </c>
      <c r="D398" s="23">
        <f t="shared" si="9"/>
        <v>40.200000000000003</v>
      </c>
    </row>
    <row r="399" spans="1:4">
      <c r="A399">
        <v>397</v>
      </c>
      <c r="B399" s="23">
        <f t="shared" si="8"/>
        <v>16.233333333333334</v>
      </c>
      <c r="C399" s="20">
        <v>1</v>
      </c>
      <c r="D399" s="23">
        <f t="shared" si="9"/>
        <v>41.31666666666667</v>
      </c>
    </row>
    <row r="400" spans="1:4">
      <c r="A400">
        <v>398</v>
      </c>
      <c r="B400" s="23">
        <f t="shared" si="8"/>
        <v>16.266666666666666</v>
      </c>
      <c r="C400" s="20">
        <v>1</v>
      </c>
      <c r="D400" s="23">
        <f t="shared" si="9"/>
        <v>42.43333333333333</v>
      </c>
    </row>
    <row r="401" spans="1:4">
      <c r="A401">
        <v>399</v>
      </c>
      <c r="B401" s="23">
        <f t="shared" si="8"/>
        <v>16.3</v>
      </c>
      <c r="C401" s="20">
        <v>1</v>
      </c>
      <c r="D401" s="23">
        <f t="shared" si="9"/>
        <v>43.55</v>
      </c>
    </row>
    <row r="402" spans="1:4">
      <c r="A402">
        <v>400</v>
      </c>
      <c r="B402" s="23">
        <f t="shared" si="8"/>
        <v>16.333333333333332</v>
      </c>
      <c r="C402" s="20">
        <v>1</v>
      </c>
      <c r="D402" s="23">
        <f t="shared" si="9"/>
        <v>44.666666666666664</v>
      </c>
    </row>
    <row r="403" spans="1:4">
      <c r="A403">
        <v>401</v>
      </c>
      <c r="B403" s="23">
        <f t="shared" si="8"/>
        <v>16.366666666666667</v>
      </c>
      <c r="C403" s="20">
        <v>1</v>
      </c>
      <c r="D403" s="23">
        <f t="shared" si="9"/>
        <v>45.783333333333331</v>
      </c>
    </row>
    <row r="404" spans="1:4">
      <c r="A404">
        <v>402</v>
      </c>
      <c r="B404" s="23">
        <f t="shared" si="8"/>
        <v>16.399999999999999</v>
      </c>
      <c r="C404" s="20">
        <v>1</v>
      </c>
      <c r="D404" s="23">
        <f t="shared" si="9"/>
        <v>46.9</v>
      </c>
    </row>
    <row r="405" spans="1:4">
      <c r="A405">
        <v>403</v>
      </c>
      <c r="B405" s="23">
        <f t="shared" si="8"/>
        <v>16.433333333333334</v>
      </c>
      <c r="C405" s="20">
        <v>1</v>
      </c>
      <c r="D405" s="23">
        <f t="shared" si="9"/>
        <v>48.016666666666666</v>
      </c>
    </row>
    <row r="406" spans="1:4">
      <c r="A406">
        <v>404</v>
      </c>
      <c r="B406" s="23">
        <f t="shared" si="8"/>
        <v>16.466666666666665</v>
      </c>
      <c r="C406" s="20">
        <v>1</v>
      </c>
      <c r="D406" s="23">
        <f t="shared" si="9"/>
        <v>49.133333333333333</v>
      </c>
    </row>
    <row r="407" spans="1:4">
      <c r="A407">
        <v>405</v>
      </c>
      <c r="B407" s="23">
        <f t="shared" si="8"/>
        <v>16.5</v>
      </c>
      <c r="C407" s="20">
        <v>1</v>
      </c>
      <c r="D407" s="23">
        <f t="shared" si="9"/>
        <v>50.25</v>
      </c>
    </row>
    <row r="408" spans="1:4">
      <c r="A408">
        <v>406</v>
      </c>
      <c r="B408" s="23">
        <f t="shared" si="8"/>
        <v>16.533333333333335</v>
      </c>
      <c r="C408" s="20">
        <v>1</v>
      </c>
      <c r="D408" s="23">
        <f t="shared" si="9"/>
        <v>51.366666666666667</v>
      </c>
    </row>
    <row r="409" spans="1:4">
      <c r="A409">
        <v>407</v>
      </c>
      <c r="B409" s="23">
        <f t="shared" si="8"/>
        <v>16.566666666666666</v>
      </c>
      <c r="C409" s="20">
        <v>1</v>
      </c>
      <c r="D409" s="23">
        <f t="shared" si="9"/>
        <v>52.483333333333334</v>
      </c>
    </row>
    <row r="410" spans="1:4">
      <c r="A410">
        <v>408</v>
      </c>
      <c r="B410" s="23">
        <f t="shared" si="8"/>
        <v>16.600000000000001</v>
      </c>
      <c r="C410" s="20">
        <v>1</v>
      </c>
      <c r="D410" s="23">
        <f t="shared" si="9"/>
        <v>53.6</v>
      </c>
    </row>
    <row r="411" spans="1:4">
      <c r="A411">
        <v>409</v>
      </c>
      <c r="B411" s="23">
        <f t="shared" si="8"/>
        <v>16.633333333333333</v>
      </c>
      <c r="C411" s="20">
        <v>1</v>
      </c>
      <c r="D411" s="23">
        <f t="shared" si="9"/>
        <v>54.716666666666669</v>
      </c>
    </row>
    <row r="412" spans="1:4">
      <c r="A412">
        <v>410</v>
      </c>
      <c r="B412" s="23">
        <f t="shared" si="8"/>
        <v>16.666666666666668</v>
      </c>
      <c r="C412" s="20">
        <v>1</v>
      </c>
      <c r="D412" s="23">
        <f t="shared" si="9"/>
        <v>55.833333333333336</v>
      </c>
    </row>
    <row r="413" spans="1:4">
      <c r="A413">
        <v>411</v>
      </c>
      <c r="B413" s="23">
        <f t="shared" si="8"/>
        <v>16.7</v>
      </c>
      <c r="C413" s="20">
        <v>1</v>
      </c>
      <c r="D413" s="23">
        <f t="shared" si="9"/>
        <v>56.95</v>
      </c>
    </row>
    <row r="414" spans="1:4">
      <c r="A414">
        <v>412</v>
      </c>
      <c r="B414" s="23">
        <f t="shared" si="8"/>
        <v>16.733333333333334</v>
      </c>
      <c r="C414" s="20">
        <v>1</v>
      </c>
      <c r="D414" s="23">
        <f t="shared" si="9"/>
        <v>58.06666666666667</v>
      </c>
    </row>
    <row r="415" spans="1:4">
      <c r="A415">
        <v>413</v>
      </c>
      <c r="B415" s="23">
        <f t="shared" si="8"/>
        <v>16.766666666666666</v>
      </c>
      <c r="C415" s="20">
        <v>1</v>
      </c>
      <c r="D415" s="23">
        <f t="shared" si="9"/>
        <v>59.18333333333333</v>
      </c>
    </row>
    <row r="416" spans="1:4">
      <c r="A416">
        <v>414</v>
      </c>
      <c r="B416" s="23">
        <f t="shared" si="8"/>
        <v>16.8</v>
      </c>
      <c r="C416" s="20">
        <v>1</v>
      </c>
      <c r="D416" s="23">
        <f t="shared" si="9"/>
        <v>60.3</v>
      </c>
    </row>
    <row r="417" spans="1:4">
      <c r="A417">
        <v>415</v>
      </c>
      <c r="B417" s="23">
        <f t="shared" si="8"/>
        <v>16.833333333333332</v>
      </c>
      <c r="C417" s="20">
        <v>1</v>
      </c>
      <c r="D417" s="23">
        <f t="shared" si="9"/>
        <v>61.416666666666664</v>
      </c>
    </row>
    <row r="418" spans="1:4">
      <c r="A418">
        <v>416</v>
      </c>
      <c r="B418" s="23">
        <f t="shared" si="8"/>
        <v>16.866666666666667</v>
      </c>
      <c r="C418" s="20">
        <v>1</v>
      </c>
      <c r="D418" s="23">
        <f t="shared" si="9"/>
        <v>62.533333333333331</v>
      </c>
    </row>
    <row r="419" spans="1:4">
      <c r="A419">
        <v>417</v>
      </c>
      <c r="B419" s="23">
        <f t="shared" si="8"/>
        <v>16.899999999999999</v>
      </c>
      <c r="C419" s="20">
        <v>1</v>
      </c>
      <c r="D419" s="23">
        <f t="shared" si="9"/>
        <v>63.65</v>
      </c>
    </row>
    <row r="420" spans="1:4">
      <c r="A420">
        <v>418</v>
      </c>
      <c r="B420" s="23">
        <f t="shared" si="8"/>
        <v>16.933333333333334</v>
      </c>
      <c r="C420" s="20">
        <v>1</v>
      </c>
      <c r="D420" s="23">
        <f t="shared" si="9"/>
        <v>64.766666666666666</v>
      </c>
    </row>
    <row r="421" spans="1:4">
      <c r="A421">
        <v>419</v>
      </c>
      <c r="B421" s="23">
        <f t="shared" si="8"/>
        <v>16.966666666666665</v>
      </c>
      <c r="C421" s="20">
        <v>1</v>
      </c>
      <c r="D421" s="23">
        <f t="shared" si="9"/>
        <v>65.88333333333334</v>
      </c>
    </row>
    <row r="422" spans="1:4">
      <c r="A422">
        <v>420</v>
      </c>
      <c r="B422" s="4">
        <v>17</v>
      </c>
      <c r="C422" s="20">
        <v>1</v>
      </c>
      <c r="D422" s="5">
        <v>67</v>
      </c>
    </row>
    <row r="423" spans="1:4">
      <c r="A423">
        <v>421</v>
      </c>
      <c r="B423">
        <f>(A423-$A$422)/60*3+17</f>
        <v>17.05</v>
      </c>
      <c r="C423" s="23">
        <f>2*(A423-$A$422)/60+1</f>
        <v>1.0333333333333334</v>
      </c>
      <c r="D423" s="23">
        <f>$D$422-(A423-$A$422)*($D$422-$D$482)/60</f>
        <v>71.066666666666663</v>
      </c>
    </row>
    <row r="424" spans="1:4">
      <c r="A424">
        <v>422</v>
      </c>
      <c r="B424">
        <f t="shared" ref="B424:B481" si="10">(A424-$A$422)/60*3+17</f>
        <v>17.100000000000001</v>
      </c>
      <c r="C424" s="23">
        <f t="shared" ref="C424:C481" si="11">2*(A424-$A$422)/60+1</f>
        <v>1.0666666666666667</v>
      </c>
      <c r="D424" s="23">
        <f t="shared" ref="D424:D481" si="12">$D$422-(A424-$A$422)*($D$422-$D$482)/60</f>
        <v>75.133333333333326</v>
      </c>
    </row>
    <row r="425" spans="1:4">
      <c r="A425">
        <v>423</v>
      </c>
      <c r="B425">
        <f t="shared" si="10"/>
        <v>17.149999999999999</v>
      </c>
      <c r="C425" s="23">
        <f t="shared" si="11"/>
        <v>1.1000000000000001</v>
      </c>
      <c r="D425" s="23">
        <f t="shared" si="12"/>
        <v>79.2</v>
      </c>
    </row>
    <row r="426" spans="1:4">
      <c r="A426">
        <v>424</v>
      </c>
      <c r="B426">
        <f t="shared" si="10"/>
        <v>17.2</v>
      </c>
      <c r="C426" s="23">
        <f t="shared" si="11"/>
        <v>1.1333333333333333</v>
      </c>
      <c r="D426" s="23">
        <f t="shared" si="12"/>
        <v>83.266666666666666</v>
      </c>
    </row>
    <row r="427" spans="1:4">
      <c r="A427">
        <v>425</v>
      </c>
      <c r="B427">
        <f t="shared" si="10"/>
        <v>17.25</v>
      </c>
      <c r="C427" s="23">
        <f t="shared" si="11"/>
        <v>1.1666666666666667</v>
      </c>
      <c r="D427" s="23">
        <f t="shared" si="12"/>
        <v>87.333333333333329</v>
      </c>
    </row>
    <row r="428" spans="1:4">
      <c r="A428">
        <v>426</v>
      </c>
      <c r="B428">
        <f t="shared" si="10"/>
        <v>17.3</v>
      </c>
      <c r="C428" s="23">
        <f t="shared" si="11"/>
        <v>1.2</v>
      </c>
      <c r="D428" s="23">
        <f t="shared" si="12"/>
        <v>91.4</v>
      </c>
    </row>
    <row r="429" spans="1:4">
      <c r="A429">
        <v>427</v>
      </c>
      <c r="B429">
        <f t="shared" si="10"/>
        <v>17.350000000000001</v>
      </c>
      <c r="C429" s="23">
        <f t="shared" si="11"/>
        <v>1.2333333333333334</v>
      </c>
      <c r="D429" s="23">
        <f t="shared" si="12"/>
        <v>95.466666666666669</v>
      </c>
    </row>
    <row r="430" spans="1:4">
      <c r="A430">
        <v>428</v>
      </c>
      <c r="B430">
        <f t="shared" si="10"/>
        <v>17.399999999999999</v>
      </c>
      <c r="C430" s="23">
        <f t="shared" si="11"/>
        <v>1.2666666666666666</v>
      </c>
      <c r="D430" s="23">
        <f t="shared" si="12"/>
        <v>99.533333333333331</v>
      </c>
    </row>
    <row r="431" spans="1:4">
      <c r="A431">
        <v>429</v>
      </c>
      <c r="B431">
        <f t="shared" si="10"/>
        <v>17.45</v>
      </c>
      <c r="C431" s="23">
        <f t="shared" si="11"/>
        <v>1.3</v>
      </c>
      <c r="D431" s="23">
        <f t="shared" si="12"/>
        <v>103.6</v>
      </c>
    </row>
    <row r="432" spans="1:4">
      <c r="A432">
        <v>430</v>
      </c>
      <c r="B432">
        <f t="shared" si="10"/>
        <v>17.5</v>
      </c>
      <c r="C432" s="23">
        <f t="shared" si="11"/>
        <v>1.3333333333333333</v>
      </c>
      <c r="D432" s="23">
        <f t="shared" si="12"/>
        <v>107.66666666666666</v>
      </c>
    </row>
    <row r="433" spans="1:4">
      <c r="A433">
        <v>431</v>
      </c>
      <c r="B433">
        <f t="shared" si="10"/>
        <v>17.55</v>
      </c>
      <c r="C433" s="23">
        <f t="shared" si="11"/>
        <v>1.3666666666666667</v>
      </c>
      <c r="D433" s="23">
        <f t="shared" si="12"/>
        <v>111.73333333333333</v>
      </c>
    </row>
    <row r="434" spans="1:4">
      <c r="A434">
        <v>432</v>
      </c>
      <c r="B434">
        <f t="shared" si="10"/>
        <v>17.600000000000001</v>
      </c>
      <c r="C434" s="23">
        <f t="shared" si="11"/>
        <v>1.4</v>
      </c>
      <c r="D434" s="23">
        <f t="shared" si="12"/>
        <v>115.8</v>
      </c>
    </row>
    <row r="435" spans="1:4">
      <c r="A435">
        <v>433</v>
      </c>
      <c r="B435">
        <f t="shared" si="10"/>
        <v>17.649999999999999</v>
      </c>
      <c r="C435" s="23">
        <f t="shared" si="11"/>
        <v>1.4333333333333333</v>
      </c>
      <c r="D435" s="23">
        <f t="shared" si="12"/>
        <v>119.86666666666667</v>
      </c>
    </row>
    <row r="436" spans="1:4">
      <c r="A436">
        <v>434</v>
      </c>
      <c r="B436">
        <f t="shared" si="10"/>
        <v>17.7</v>
      </c>
      <c r="C436" s="23">
        <f t="shared" si="11"/>
        <v>1.4666666666666668</v>
      </c>
      <c r="D436" s="23">
        <f t="shared" si="12"/>
        <v>123.93333333333334</v>
      </c>
    </row>
    <row r="437" spans="1:4">
      <c r="A437">
        <v>435</v>
      </c>
      <c r="B437">
        <f t="shared" si="10"/>
        <v>17.75</v>
      </c>
      <c r="C437" s="23">
        <f t="shared" si="11"/>
        <v>1.5</v>
      </c>
      <c r="D437" s="23">
        <f t="shared" si="12"/>
        <v>128</v>
      </c>
    </row>
    <row r="438" spans="1:4">
      <c r="A438">
        <v>436</v>
      </c>
      <c r="B438">
        <f t="shared" si="10"/>
        <v>17.8</v>
      </c>
      <c r="C438" s="23">
        <f t="shared" si="11"/>
        <v>1.5333333333333332</v>
      </c>
      <c r="D438" s="23">
        <f t="shared" si="12"/>
        <v>132.06666666666666</v>
      </c>
    </row>
    <row r="439" spans="1:4">
      <c r="A439">
        <v>437</v>
      </c>
      <c r="B439">
        <f t="shared" si="10"/>
        <v>17.850000000000001</v>
      </c>
      <c r="C439" s="23">
        <f t="shared" si="11"/>
        <v>1.5666666666666667</v>
      </c>
      <c r="D439" s="23">
        <f t="shared" si="12"/>
        <v>136.13333333333333</v>
      </c>
    </row>
    <row r="440" spans="1:4">
      <c r="A440">
        <v>438</v>
      </c>
      <c r="B440">
        <f t="shared" si="10"/>
        <v>17.899999999999999</v>
      </c>
      <c r="C440" s="23">
        <f t="shared" si="11"/>
        <v>1.6</v>
      </c>
      <c r="D440" s="23">
        <f t="shared" si="12"/>
        <v>140.19999999999999</v>
      </c>
    </row>
    <row r="441" spans="1:4">
      <c r="A441">
        <v>439</v>
      </c>
      <c r="B441">
        <f t="shared" si="10"/>
        <v>17.95</v>
      </c>
      <c r="C441" s="23">
        <f t="shared" si="11"/>
        <v>1.6333333333333333</v>
      </c>
      <c r="D441" s="23">
        <f t="shared" si="12"/>
        <v>144.26666666666665</v>
      </c>
    </row>
    <row r="442" spans="1:4">
      <c r="A442">
        <v>440</v>
      </c>
      <c r="B442">
        <f t="shared" si="10"/>
        <v>18</v>
      </c>
      <c r="C442" s="23">
        <f t="shared" si="11"/>
        <v>1.6666666666666665</v>
      </c>
      <c r="D442" s="23">
        <f t="shared" si="12"/>
        <v>148.33333333333331</v>
      </c>
    </row>
    <row r="443" spans="1:4">
      <c r="A443">
        <v>441</v>
      </c>
      <c r="B443">
        <f t="shared" si="10"/>
        <v>18.05</v>
      </c>
      <c r="C443" s="23">
        <f t="shared" si="11"/>
        <v>1.7</v>
      </c>
      <c r="D443" s="23">
        <f t="shared" si="12"/>
        <v>152.4</v>
      </c>
    </row>
    <row r="444" spans="1:4">
      <c r="A444">
        <v>442</v>
      </c>
      <c r="B444">
        <f t="shared" si="10"/>
        <v>18.100000000000001</v>
      </c>
      <c r="C444" s="23">
        <f t="shared" si="11"/>
        <v>1.7333333333333334</v>
      </c>
      <c r="D444" s="23">
        <f t="shared" si="12"/>
        <v>156.46666666666667</v>
      </c>
    </row>
    <row r="445" spans="1:4">
      <c r="A445">
        <v>443</v>
      </c>
      <c r="B445">
        <f t="shared" si="10"/>
        <v>18.149999999999999</v>
      </c>
      <c r="C445" s="23">
        <f t="shared" si="11"/>
        <v>1.7666666666666666</v>
      </c>
      <c r="D445" s="23">
        <f t="shared" si="12"/>
        <v>160.53333333333333</v>
      </c>
    </row>
    <row r="446" spans="1:4">
      <c r="A446">
        <v>444</v>
      </c>
      <c r="B446">
        <f t="shared" si="10"/>
        <v>18.2</v>
      </c>
      <c r="C446" s="23">
        <f t="shared" si="11"/>
        <v>1.8</v>
      </c>
      <c r="D446" s="23">
        <f t="shared" si="12"/>
        <v>164.6</v>
      </c>
    </row>
    <row r="447" spans="1:4">
      <c r="A447">
        <v>445</v>
      </c>
      <c r="B447">
        <f t="shared" si="10"/>
        <v>18.25</v>
      </c>
      <c r="C447" s="23">
        <f t="shared" si="11"/>
        <v>1.8333333333333335</v>
      </c>
      <c r="D447" s="23">
        <f t="shared" si="12"/>
        <v>168.66666666666669</v>
      </c>
    </row>
    <row r="448" spans="1:4">
      <c r="A448">
        <v>446</v>
      </c>
      <c r="B448">
        <f t="shared" si="10"/>
        <v>18.3</v>
      </c>
      <c r="C448" s="23">
        <f t="shared" si="11"/>
        <v>1.8666666666666667</v>
      </c>
      <c r="D448" s="23">
        <f t="shared" si="12"/>
        <v>172.73333333333335</v>
      </c>
    </row>
    <row r="449" spans="1:4">
      <c r="A449">
        <v>447</v>
      </c>
      <c r="B449">
        <f t="shared" si="10"/>
        <v>18.350000000000001</v>
      </c>
      <c r="C449" s="23">
        <f t="shared" si="11"/>
        <v>1.9</v>
      </c>
      <c r="D449" s="23">
        <f t="shared" si="12"/>
        <v>176.8</v>
      </c>
    </row>
    <row r="450" spans="1:4">
      <c r="A450">
        <v>448</v>
      </c>
      <c r="B450">
        <f t="shared" si="10"/>
        <v>18.399999999999999</v>
      </c>
      <c r="C450" s="23">
        <f t="shared" si="11"/>
        <v>1.9333333333333333</v>
      </c>
      <c r="D450" s="23">
        <f t="shared" si="12"/>
        <v>180.86666666666667</v>
      </c>
    </row>
    <row r="451" spans="1:4">
      <c r="A451">
        <v>449</v>
      </c>
      <c r="B451">
        <f t="shared" si="10"/>
        <v>18.45</v>
      </c>
      <c r="C451" s="23">
        <f t="shared" si="11"/>
        <v>1.9666666666666668</v>
      </c>
      <c r="D451" s="23">
        <f t="shared" si="12"/>
        <v>184.93333333333334</v>
      </c>
    </row>
    <row r="452" spans="1:4">
      <c r="A452">
        <v>450</v>
      </c>
      <c r="B452">
        <f t="shared" si="10"/>
        <v>18.5</v>
      </c>
      <c r="C452" s="23">
        <f t="shared" si="11"/>
        <v>2</v>
      </c>
      <c r="D452" s="23">
        <f t="shared" si="12"/>
        <v>189</v>
      </c>
    </row>
    <row r="453" spans="1:4">
      <c r="A453">
        <v>451</v>
      </c>
      <c r="B453">
        <f t="shared" si="10"/>
        <v>18.55</v>
      </c>
      <c r="C453" s="23">
        <f t="shared" si="11"/>
        <v>2.0333333333333332</v>
      </c>
      <c r="D453" s="23">
        <f t="shared" si="12"/>
        <v>193.06666666666666</v>
      </c>
    </row>
    <row r="454" spans="1:4">
      <c r="A454">
        <v>452</v>
      </c>
      <c r="B454">
        <f t="shared" si="10"/>
        <v>18.600000000000001</v>
      </c>
      <c r="C454" s="23">
        <f t="shared" si="11"/>
        <v>2.0666666666666664</v>
      </c>
      <c r="D454" s="23">
        <f t="shared" si="12"/>
        <v>197.13333333333333</v>
      </c>
    </row>
    <row r="455" spans="1:4">
      <c r="A455">
        <v>453</v>
      </c>
      <c r="B455">
        <f t="shared" si="10"/>
        <v>18.649999999999999</v>
      </c>
      <c r="C455" s="23">
        <f t="shared" si="11"/>
        <v>2.1</v>
      </c>
      <c r="D455" s="23">
        <f t="shared" si="12"/>
        <v>201.2</v>
      </c>
    </row>
    <row r="456" spans="1:4">
      <c r="A456">
        <v>454</v>
      </c>
      <c r="B456">
        <f t="shared" si="10"/>
        <v>18.7</v>
      </c>
      <c r="C456" s="23">
        <f t="shared" si="11"/>
        <v>2.1333333333333333</v>
      </c>
      <c r="D456" s="23">
        <f t="shared" si="12"/>
        <v>205.26666666666668</v>
      </c>
    </row>
    <row r="457" spans="1:4">
      <c r="A457">
        <v>455</v>
      </c>
      <c r="B457">
        <f t="shared" si="10"/>
        <v>18.75</v>
      </c>
      <c r="C457" s="23">
        <f t="shared" si="11"/>
        <v>2.166666666666667</v>
      </c>
      <c r="D457" s="23">
        <f t="shared" si="12"/>
        <v>209.33333333333334</v>
      </c>
    </row>
    <row r="458" spans="1:4">
      <c r="A458">
        <v>456</v>
      </c>
      <c r="B458">
        <f t="shared" si="10"/>
        <v>18.8</v>
      </c>
      <c r="C458" s="23">
        <f t="shared" si="11"/>
        <v>2.2000000000000002</v>
      </c>
      <c r="D458" s="23">
        <f t="shared" si="12"/>
        <v>213.4</v>
      </c>
    </row>
    <row r="459" spans="1:4">
      <c r="A459">
        <v>457</v>
      </c>
      <c r="B459">
        <f t="shared" si="10"/>
        <v>18.850000000000001</v>
      </c>
      <c r="C459" s="23">
        <f t="shared" si="11"/>
        <v>2.2333333333333334</v>
      </c>
      <c r="D459" s="23">
        <f t="shared" si="12"/>
        <v>217.46666666666667</v>
      </c>
    </row>
    <row r="460" spans="1:4">
      <c r="A460">
        <v>458</v>
      </c>
      <c r="B460">
        <f t="shared" si="10"/>
        <v>18.899999999999999</v>
      </c>
      <c r="C460" s="23">
        <f t="shared" si="11"/>
        <v>2.2666666666666666</v>
      </c>
      <c r="D460" s="23">
        <f t="shared" si="12"/>
        <v>221.53333333333333</v>
      </c>
    </row>
    <row r="461" spans="1:4">
      <c r="A461">
        <v>459</v>
      </c>
      <c r="B461">
        <f t="shared" si="10"/>
        <v>18.95</v>
      </c>
      <c r="C461" s="23">
        <f t="shared" si="11"/>
        <v>2.2999999999999998</v>
      </c>
      <c r="D461" s="23">
        <f t="shared" si="12"/>
        <v>225.6</v>
      </c>
    </row>
    <row r="462" spans="1:4">
      <c r="A462">
        <v>460</v>
      </c>
      <c r="B462">
        <f t="shared" si="10"/>
        <v>19</v>
      </c>
      <c r="C462" s="23">
        <f t="shared" si="11"/>
        <v>2.333333333333333</v>
      </c>
      <c r="D462" s="23">
        <f t="shared" si="12"/>
        <v>229.66666666666666</v>
      </c>
    </row>
    <row r="463" spans="1:4">
      <c r="A463">
        <v>461</v>
      </c>
      <c r="B463">
        <f t="shared" si="10"/>
        <v>19.05</v>
      </c>
      <c r="C463" s="23">
        <f t="shared" si="11"/>
        <v>2.3666666666666667</v>
      </c>
      <c r="D463" s="23">
        <f t="shared" si="12"/>
        <v>233.73333333333332</v>
      </c>
    </row>
    <row r="464" spans="1:4">
      <c r="A464">
        <v>462</v>
      </c>
      <c r="B464">
        <f t="shared" si="10"/>
        <v>19.100000000000001</v>
      </c>
      <c r="C464" s="23">
        <f t="shared" si="11"/>
        <v>2.4</v>
      </c>
      <c r="D464" s="23">
        <f t="shared" si="12"/>
        <v>237.8</v>
      </c>
    </row>
    <row r="465" spans="1:4">
      <c r="A465">
        <v>463</v>
      </c>
      <c r="B465">
        <f t="shared" si="10"/>
        <v>19.149999999999999</v>
      </c>
      <c r="C465" s="23">
        <f t="shared" si="11"/>
        <v>2.4333333333333336</v>
      </c>
      <c r="D465" s="23">
        <f t="shared" si="12"/>
        <v>241.86666666666667</v>
      </c>
    </row>
    <row r="466" spans="1:4">
      <c r="A466">
        <v>464</v>
      </c>
      <c r="B466">
        <f t="shared" si="10"/>
        <v>19.2</v>
      </c>
      <c r="C466" s="23">
        <f t="shared" si="11"/>
        <v>2.4666666666666668</v>
      </c>
      <c r="D466" s="23">
        <f t="shared" si="12"/>
        <v>245.93333333333334</v>
      </c>
    </row>
    <row r="467" spans="1:4">
      <c r="A467">
        <v>465</v>
      </c>
      <c r="B467">
        <f t="shared" si="10"/>
        <v>19.25</v>
      </c>
      <c r="C467" s="23">
        <f t="shared" si="11"/>
        <v>2.5</v>
      </c>
      <c r="D467" s="23">
        <f t="shared" si="12"/>
        <v>250</v>
      </c>
    </row>
    <row r="468" spans="1:4">
      <c r="A468">
        <v>466</v>
      </c>
      <c r="B468">
        <f t="shared" si="10"/>
        <v>19.3</v>
      </c>
      <c r="C468" s="23">
        <f t="shared" si="11"/>
        <v>2.5333333333333332</v>
      </c>
      <c r="D468" s="23">
        <f t="shared" si="12"/>
        <v>254.06666666666666</v>
      </c>
    </row>
    <row r="469" spans="1:4">
      <c r="A469">
        <v>467</v>
      </c>
      <c r="B469">
        <f t="shared" si="10"/>
        <v>19.350000000000001</v>
      </c>
      <c r="C469" s="23">
        <f t="shared" si="11"/>
        <v>2.5666666666666664</v>
      </c>
      <c r="D469" s="23">
        <f t="shared" si="12"/>
        <v>258.13333333333333</v>
      </c>
    </row>
    <row r="470" spans="1:4">
      <c r="A470">
        <v>468</v>
      </c>
      <c r="B470">
        <f t="shared" si="10"/>
        <v>19.399999999999999</v>
      </c>
      <c r="C470" s="23">
        <f t="shared" si="11"/>
        <v>2.6</v>
      </c>
      <c r="D470" s="23">
        <f t="shared" si="12"/>
        <v>262.2</v>
      </c>
    </row>
    <row r="471" spans="1:4">
      <c r="A471">
        <v>469</v>
      </c>
      <c r="B471">
        <f t="shared" si="10"/>
        <v>19.45</v>
      </c>
      <c r="C471" s="23">
        <f t="shared" si="11"/>
        <v>2.6333333333333333</v>
      </c>
      <c r="D471" s="23">
        <f t="shared" si="12"/>
        <v>266.26666666666665</v>
      </c>
    </row>
    <row r="472" spans="1:4">
      <c r="A472">
        <v>470</v>
      </c>
      <c r="B472">
        <f t="shared" si="10"/>
        <v>19.5</v>
      </c>
      <c r="C472" s="23">
        <f t="shared" si="11"/>
        <v>2.666666666666667</v>
      </c>
      <c r="D472" s="23">
        <f t="shared" si="12"/>
        <v>270.33333333333337</v>
      </c>
    </row>
    <row r="473" spans="1:4">
      <c r="A473">
        <v>471</v>
      </c>
      <c r="B473">
        <f t="shared" si="10"/>
        <v>19.55</v>
      </c>
      <c r="C473" s="23">
        <f t="shared" si="11"/>
        <v>2.7</v>
      </c>
      <c r="D473" s="23">
        <f t="shared" si="12"/>
        <v>274.39999999999998</v>
      </c>
    </row>
    <row r="474" spans="1:4">
      <c r="A474">
        <v>472</v>
      </c>
      <c r="B474">
        <f t="shared" si="10"/>
        <v>19.600000000000001</v>
      </c>
      <c r="C474" s="23">
        <f t="shared" si="11"/>
        <v>2.7333333333333334</v>
      </c>
      <c r="D474" s="23">
        <f t="shared" si="12"/>
        <v>278.4666666666667</v>
      </c>
    </row>
    <row r="475" spans="1:4">
      <c r="A475">
        <v>473</v>
      </c>
      <c r="B475">
        <f t="shared" si="10"/>
        <v>19.649999999999999</v>
      </c>
      <c r="C475" s="23">
        <f t="shared" si="11"/>
        <v>2.7666666666666666</v>
      </c>
      <c r="D475" s="23">
        <f t="shared" si="12"/>
        <v>282.5333333333333</v>
      </c>
    </row>
    <row r="476" spans="1:4">
      <c r="A476">
        <v>474</v>
      </c>
      <c r="B476">
        <f t="shared" si="10"/>
        <v>19.7</v>
      </c>
      <c r="C476" s="23">
        <f t="shared" si="11"/>
        <v>2.8</v>
      </c>
      <c r="D476" s="23">
        <f t="shared" si="12"/>
        <v>286.60000000000002</v>
      </c>
    </row>
    <row r="477" spans="1:4">
      <c r="A477">
        <v>475</v>
      </c>
      <c r="B477">
        <f t="shared" si="10"/>
        <v>19.75</v>
      </c>
      <c r="C477" s="23">
        <f t="shared" si="11"/>
        <v>2.833333333333333</v>
      </c>
      <c r="D477" s="23">
        <f t="shared" si="12"/>
        <v>290.66666666666663</v>
      </c>
    </row>
    <row r="478" spans="1:4">
      <c r="A478">
        <v>476</v>
      </c>
      <c r="B478">
        <f t="shared" si="10"/>
        <v>19.8</v>
      </c>
      <c r="C478" s="23">
        <f t="shared" si="11"/>
        <v>2.8666666666666667</v>
      </c>
      <c r="D478" s="23">
        <f t="shared" si="12"/>
        <v>294.73333333333335</v>
      </c>
    </row>
    <row r="479" spans="1:4">
      <c r="A479">
        <v>477</v>
      </c>
      <c r="B479">
        <f t="shared" si="10"/>
        <v>19.850000000000001</v>
      </c>
      <c r="C479" s="23">
        <f t="shared" si="11"/>
        <v>2.9</v>
      </c>
      <c r="D479" s="23">
        <f t="shared" si="12"/>
        <v>298.8</v>
      </c>
    </row>
    <row r="480" spans="1:4">
      <c r="A480">
        <v>478</v>
      </c>
      <c r="B480">
        <f t="shared" si="10"/>
        <v>19.899999999999999</v>
      </c>
      <c r="C480" s="23">
        <f t="shared" si="11"/>
        <v>2.9333333333333336</v>
      </c>
      <c r="D480" s="23">
        <f t="shared" si="12"/>
        <v>302.86666666666667</v>
      </c>
    </row>
    <row r="481" spans="1:4">
      <c r="A481">
        <v>479</v>
      </c>
      <c r="B481">
        <f t="shared" si="10"/>
        <v>19.95</v>
      </c>
      <c r="C481" s="23">
        <f t="shared" si="11"/>
        <v>2.9666666666666668</v>
      </c>
      <c r="D481" s="23">
        <f t="shared" si="12"/>
        <v>306.93333333333334</v>
      </c>
    </row>
    <row r="482" spans="1:4">
      <c r="A482">
        <v>480</v>
      </c>
      <c r="B482" s="4">
        <v>20</v>
      </c>
      <c r="C482" s="20">
        <v>3</v>
      </c>
      <c r="D482" s="5">
        <v>311</v>
      </c>
    </row>
    <row r="483" spans="1:4">
      <c r="A483">
        <v>481</v>
      </c>
      <c r="B483" s="23">
        <f>(A483-$A$482)*2/60+20</f>
        <v>20.033333333333335</v>
      </c>
      <c r="C483" s="23">
        <f>(A483-$A$482)*2/60+3</f>
        <v>3.0333333333333332</v>
      </c>
      <c r="D483">
        <f>$D$482-(A483-$A$482)*($D$482-$D$542)/60</f>
        <v>315.25</v>
      </c>
    </row>
    <row r="484" spans="1:4">
      <c r="A484">
        <v>482</v>
      </c>
      <c r="B484" s="23">
        <f t="shared" ref="B484:B547" si="13">(A484-$A$482)*2/60+20</f>
        <v>20.066666666666666</v>
      </c>
      <c r="C484" s="23">
        <f t="shared" ref="C484:C541" si="14">(A484-$A$482)*2/60+3</f>
        <v>3.0666666666666669</v>
      </c>
      <c r="D484">
        <f t="shared" ref="D484:D541" si="15">$D$482-(A484-$A$482)*($D$482-$D$542)/60</f>
        <v>319.5</v>
      </c>
    </row>
    <row r="485" spans="1:4">
      <c r="A485">
        <v>483</v>
      </c>
      <c r="B485" s="23">
        <f t="shared" si="13"/>
        <v>20.100000000000001</v>
      </c>
      <c r="C485" s="23">
        <f t="shared" si="14"/>
        <v>3.1</v>
      </c>
      <c r="D485">
        <f t="shared" si="15"/>
        <v>323.75</v>
      </c>
    </row>
    <row r="486" spans="1:4">
      <c r="A486">
        <v>484</v>
      </c>
      <c r="B486" s="23">
        <f t="shared" si="13"/>
        <v>20.133333333333333</v>
      </c>
      <c r="C486" s="23">
        <f t="shared" si="14"/>
        <v>3.1333333333333333</v>
      </c>
      <c r="D486">
        <f t="shared" si="15"/>
        <v>328</v>
      </c>
    </row>
    <row r="487" spans="1:4">
      <c r="A487">
        <v>485</v>
      </c>
      <c r="B487" s="23">
        <f t="shared" si="13"/>
        <v>20.166666666666668</v>
      </c>
      <c r="C487" s="23">
        <f t="shared" si="14"/>
        <v>3.1666666666666665</v>
      </c>
      <c r="D487">
        <f t="shared" si="15"/>
        <v>332.25</v>
      </c>
    </row>
    <row r="488" spans="1:4">
      <c r="A488">
        <v>486</v>
      </c>
      <c r="B488" s="23">
        <f t="shared" si="13"/>
        <v>20.2</v>
      </c>
      <c r="C488" s="23">
        <f t="shared" si="14"/>
        <v>3.2</v>
      </c>
      <c r="D488">
        <f t="shared" si="15"/>
        <v>336.5</v>
      </c>
    </row>
    <row r="489" spans="1:4">
      <c r="A489">
        <v>487</v>
      </c>
      <c r="B489" s="23">
        <f t="shared" si="13"/>
        <v>20.233333333333334</v>
      </c>
      <c r="C489" s="23">
        <f t="shared" si="14"/>
        <v>3.2333333333333334</v>
      </c>
      <c r="D489">
        <f t="shared" si="15"/>
        <v>340.75</v>
      </c>
    </row>
    <row r="490" spans="1:4">
      <c r="A490">
        <v>488</v>
      </c>
      <c r="B490" s="23">
        <f t="shared" si="13"/>
        <v>20.266666666666666</v>
      </c>
      <c r="C490" s="23">
        <f t="shared" si="14"/>
        <v>3.2666666666666666</v>
      </c>
      <c r="D490">
        <f t="shared" si="15"/>
        <v>345</v>
      </c>
    </row>
    <row r="491" spans="1:4">
      <c r="A491">
        <v>489</v>
      </c>
      <c r="B491" s="23">
        <f t="shared" si="13"/>
        <v>20.3</v>
      </c>
      <c r="C491" s="23">
        <f t="shared" si="14"/>
        <v>3.3</v>
      </c>
      <c r="D491">
        <f t="shared" si="15"/>
        <v>349.25</v>
      </c>
    </row>
    <row r="492" spans="1:4">
      <c r="A492">
        <v>490</v>
      </c>
      <c r="B492" s="23">
        <f t="shared" si="13"/>
        <v>20.333333333333332</v>
      </c>
      <c r="C492" s="23">
        <f t="shared" si="14"/>
        <v>3.3333333333333335</v>
      </c>
      <c r="D492">
        <f t="shared" si="15"/>
        <v>353.5</v>
      </c>
    </row>
    <row r="493" spans="1:4">
      <c r="A493">
        <v>491</v>
      </c>
      <c r="B493" s="23">
        <f t="shared" si="13"/>
        <v>20.366666666666667</v>
      </c>
      <c r="C493" s="23">
        <f t="shared" si="14"/>
        <v>3.3666666666666667</v>
      </c>
      <c r="D493">
        <f t="shared" si="15"/>
        <v>357.75</v>
      </c>
    </row>
    <row r="494" spans="1:4">
      <c r="A494">
        <v>492</v>
      </c>
      <c r="B494" s="23">
        <f t="shared" si="13"/>
        <v>20.399999999999999</v>
      </c>
      <c r="C494" s="23">
        <f t="shared" si="14"/>
        <v>3.4</v>
      </c>
      <c r="D494">
        <f t="shared" si="15"/>
        <v>362</v>
      </c>
    </row>
    <row r="495" spans="1:4">
      <c r="A495">
        <v>493</v>
      </c>
      <c r="B495" s="23">
        <f t="shared" si="13"/>
        <v>20.433333333333334</v>
      </c>
      <c r="C495" s="23">
        <f t="shared" si="14"/>
        <v>3.4333333333333336</v>
      </c>
      <c r="D495">
        <f t="shared" si="15"/>
        <v>366.25</v>
      </c>
    </row>
    <row r="496" spans="1:4">
      <c r="A496">
        <v>494</v>
      </c>
      <c r="B496" s="23">
        <f t="shared" si="13"/>
        <v>20.466666666666665</v>
      </c>
      <c r="C496" s="23">
        <f t="shared" si="14"/>
        <v>3.4666666666666668</v>
      </c>
      <c r="D496">
        <f t="shared" si="15"/>
        <v>370.5</v>
      </c>
    </row>
    <row r="497" spans="1:4">
      <c r="A497">
        <v>495</v>
      </c>
      <c r="B497" s="23">
        <f t="shared" si="13"/>
        <v>20.5</v>
      </c>
      <c r="C497" s="23">
        <f t="shared" si="14"/>
        <v>3.5</v>
      </c>
      <c r="D497">
        <f t="shared" si="15"/>
        <v>374.75</v>
      </c>
    </row>
    <row r="498" spans="1:4">
      <c r="A498">
        <v>496</v>
      </c>
      <c r="B498" s="23">
        <f t="shared" si="13"/>
        <v>20.533333333333335</v>
      </c>
      <c r="C498" s="23">
        <f t="shared" si="14"/>
        <v>3.5333333333333332</v>
      </c>
      <c r="D498">
        <f t="shared" si="15"/>
        <v>379</v>
      </c>
    </row>
    <row r="499" spans="1:4">
      <c r="A499">
        <v>497</v>
      </c>
      <c r="B499" s="23">
        <f t="shared" si="13"/>
        <v>20.566666666666666</v>
      </c>
      <c r="C499" s="23">
        <f t="shared" si="14"/>
        <v>3.5666666666666664</v>
      </c>
      <c r="D499">
        <f t="shared" si="15"/>
        <v>383.25</v>
      </c>
    </row>
    <row r="500" spans="1:4">
      <c r="A500">
        <v>498</v>
      </c>
      <c r="B500" s="23">
        <f t="shared" si="13"/>
        <v>20.6</v>
      </c>
      <c r="C500" s="23">
        <f t="shared" si="14"/>
        <v>3.6</v>
      </c>
      <c r="D500">
        <f t="shared" si="15"/>
        <v>387.5</v>
      </c>
    </row>
    <row r="501" spans="1:4">
      <c r="A501">
        <v>499</v>
      </c>
      <c r="B501" s="23">
        <f t="shared" si="13"/>
        <v>20.633333333333333</v>
      </c>
      <c r="C501" s="23">
        <f t="shared" si="14"/>
        <v>3.6333333333333333</v>
      </c>
      <c r="D501">
        <f t="shared" si="15"/>
        <v>391.75</v>
      </c>
    </row>
    <row r="502" spans="1:4">
      <c r="A502">
        <v>500</v>
      </c>
      <c r="B502" s="23">
        <f t="shared" si="13"/>
        <v>20.666666666666668</v>
      </c>
      <c r="C502" s="23">
        <f t="shared" si="14"/>
        <v>3.6666666666666665</v>
      </c>
      <c r="D502">
        <f t="shared" si="15"/>
        <v>396</v>
      </c>
    </row>
    <row r="503" spans="1:4">
      <c r="A503">
        <v>501</v>
      </c>
      <c r="B503" s="23">
        <f t="shared" si="13"/>
        <v>20.7</v>
      </c>
      <c r="C503" s="23">
        <f t="shared" si="14"/>
        <v>3.7</v>
      </c>
      <c r="D503">
        <f t="shared" si="15"/>
        <v>400.25</v>
      </c>
    </row>
    <row r="504" spans="1:4">
      <c r="A504">
        <v>502</v>
      </c>
      <c r="B504" s="23">
        <f t="shared" si="13"/>
        <v>20.733333333333334</v>
      </c>
      <c r="C504" s="23">
        <f t="shared" si="14"/>
        <v>3.7333333333333334</v>
      </c>
      <c r="D504">
        <f t="shared" si="15"/>
        <v>404.5</v>
      </c>
    </row>
    <row r="505" spans="1:4">
      <c r="A505">
        <v>503</v>
      </c>
      <c r="B505" s="23">
        <f t="shared" si="13"/>
        <v>20.766666666666666</v>
      </c>
      <c r="C505" s="23">
        <f t="shared" si="14"/>
        <v>3.7666666666666666</v>
      </c>
      <c r="D505">
        <f t="shared" si="15"/>
        <v>408.75</v>
      </c>
    </row>
    <row r="506" spans="1:4">
      <c r="A506">
        <v>504</v>
      </c>
      <c r="B506" s="23">
        <f t="shared" si="13"/>
        <v>20.8</v>
      </c>
      <c r="C506" s="23">
        <f t="shared" si="14"/>
        <v>3.8</v>
      </c>
      <c r="D506">
        <f t="shared" si="15"/>
        <v>413</v>
      </c>
    </row>
    <row r="507" spans="1:4">
      <c r="A507">
        <v>505</v>
      </c>
      <c r="B507" s="23">
        <f t="shared" si="13"/>
        <v>20.833333333333332</v>
      </c>
      <c r="C507" s="23">
        <f t="shared" si="14"/>
        <v>3.8333333333333335</v>
      </c>
      <c r="D507">
        <f t="shared" si="15"/>
        <v>417.25</v>
      </c>
    </row>
    <row r="508" spans="1:4">
      <c r="A508">
        <v>506</v>
      </c>
      <c r="B508" s="23">
        <f t="shared" si="13"/>
        <v>20.866666666666667</v>
      </c>
      <c r="C508" s="23">
        <f t="shared" si="14"/>
        <v>3.8666666666666667</v>
      </c>
      <c r="D508">
        <f t="shared" si="15"/>
        <v>421.5</v>
      </c>
    </row>
    <row r="509" spans="1:4">
      <c r="A509">
        <v>507</v>
      </c>
      <c r="B509" s="23">
        <f t="shared" si="13"/>
        <v>20.9</v>
      </c>
      <c r="C509" s="23">
        <f t="shared" si="14"/>
        <v>3.9</v>
      </c>
      <c r="D509">
        <f t="shared" si="15"/>
        <v>425.75</v>
      </c>
    </row>
    <row r="510" spans="1:4">
      <c r="A510">
        <v>508</v>
      </c>
      <c r="B510" s="23">
        <f t="shared" si="13"/>
        <v>20.933333333333334</v>
      </c>
      <c r="C510" s="23">
        <f t="shared" si="14"/>
        <v>3.9333333333333336</v>
      </c>
      <c r="D510">
        <f t="shared" si="15"/>
        <v>430</v>
      </c>
    </row>
    <row r="511" spans="1:4">
      <c r="A511">
        <v>509</v>
      </c>
      <c r="B511" s="23">
        <f t="shared" si="13"/>
        <v>20.966666666666665</v>
      </c>
      <c r="C511" s="23">
        <f t="shared" si="14"/>
        <v>3.9666666666666668</v>
      </c>
      <c r="D511">
        <f t="shared" si="15"/>
        <v>434.25</v>
      </c>
    </row>
    <row r="512" spans="1:4">
      <c r="A512">
        <v>510</v>
      </c>
      <c r="B512" s="23">
        <f t="shared" si="13"/>
        <v>21</v>
      </c>
      <c r="C512" s="23">
        <f t="shared" si="14"/>
        <v>4</v>
      </c>
      <c r="D512">
        <f t="shared" si="15"/>
        <v>438.5</v>
      </c>
    </row>
    <row r="513" spans="1:4">
      <c r="A513">
        <v>511</v>
      </c>
      <c r="B513" s="23">
        <f t="shared" si="13"/>
        <v>21.033333333333335</v>
      </c>
      <c r="C513" s="23">
        <f t="shared" si="14"/>
        <v>4.0333333333333332</v>
      </c>
      <c r="D513">
        <f t="shared" si="15"/>
        <v>442.75</v>
      </c>
    </row>
    <row r="514" spans="1:4">
      <c r="A514">
        <v>512</v>
      </c>
      <c r="B514" s="23">
        <f t="shared" si="13"/>
        <v>21.066666666666666</v>
      </c>
      <c r="C514" s="23">
        <f t="shared" si="14"/>
        <v>4.0666666666666664</v>
      </c>
      <c r="D514">
        <f t="shared" si="15"/>
        <v>447</v>
      </c>
    </row>
    <row r="515" spans="1:4">
      <c r="A515">
        <v>513</v>
      </c>
      <c r="B515" s="23">
        <f t="shared" si="13"/>
        <v>21.1</v>
      </c>
      <c r="C515" s="23">
        <f t="shared" si="14"/>
        <v>4.0999999999999996</v>
      </c>
      <c r="D515">
        <f t="shared" si="15"/>
        <v>451.25</v>
      </c>
    </row>
    <row r="516" spans="1:4">
      <c r="A516">
        <v>514</v>
      </c>
      <c r="B516" s="23">
        <f t="shared" si="13"/>
        <v>21.133333333333333</v>
      </c>
      <c r="C516" s="23">
        <f t="shared" si="14"/>
        <v>4.1333333333333329</v>
      </c>
      <c r="D516">
        <f t="shared" si="15"/>
        <v>455.5</v>
      </c>
    </row>
    <row r="517" spans="1:4">
      <c r="A517">
        <v>515</v>
      </c>
      <c r="B517" s="23">
        <f t="shared" si="13"/>
        <v>21.166666666666668</v>
      </c>
      <c r="C517" s="23">
        <f t="shared" si="14"/>
        <v>4.166666666666667</v>
      </c>
      <c r="D517">
        <f t="shared" si="15"/>
        <v>459.75</v>
      </c>
    </row>
    <row r="518" spans="1:4">
      <c r="A518">
        <v>516</v>
      </c>
      <c r="B518" s="23">
        <f t="shared" si="13"/>
        <v>21.2</v>
      </c>
      <c r="C518" s="23">
        <f t="shared" si="14"/>
        <v>4.2</v>
      </c>
      <c r="D518">
        <f t="shared" si="15"/>
        <v>464</v>
      </c>
    </row>
    <row r="519" spans="1:4">
      <c r="A519">
        <v>517</v>
      </c>
      <c r="B519" s="23">
        <f t="shared" si="13"/>
        <v>21.233333333333334</v>
      </c>
      <c r="C519" s="23">
        <f t="shared" si="14"/>
        <v>4.2333333333333334</v>
      </c>
      <c r="D519">
        <f t="shared" si="15"/>
        <v>468.25</v>
      </c>
    </row>
    <row r="520" spans="1:4">
      <c r="A520">
        <v>518</v>
      </c>
      <c r="B520" s="23">
        <f t="shared" si="13"/>
        <v>21.266666666666666</v>
      </c>
      <c r="C520" s="23">
        <f t="shared" si="14"/>
        <v>4.2666666666666666</v>
      </c>
      <c r="D520">
        <f t="shared" si="15"/>
        <v>472.5</v>
      </c>
    </row>
    <row r="521" spans="1:4">
      <c r="A521">
        <v>519</v>
      </c>
      <c r="B521" s="23">
        <f t="shared" si="13"/>
        <v>21.3</v>
      </c>
      <c r="C521" s="23">
        <f t="shared" si="14"/>
        <v>4.3</v>
      </c>
      <c r="D521">
        <f t="shared" si="15"/>
        <v>476.75</v>
      </c>
    </row>
    <row r="522" spans="1:4">
      <c r="A522">
        <v>520</v>
      </c>
      <c r="B522" s="23">
        <f t="shared" si="13"/>
        <v>21.333333333333332</v>
      </c>
      <c r="C522" s="23">
        <f t="shared" si="14"/>
        <v>4.333333333333333</v>
      </c>
      <c r="D522">
        <f t="shared" si="15"/>
        <v>481</v>
      </c>
    </row>
    <row r="523" spans="1:4">
      <c r="A523">
        <v>521</v>
      </c>
      <c r="B523" s="23">
        <f t="shared" si="13"/>
        <v>21.366666666666667</v>
      </c>
      <c r="C523" s="23">
        <f t="shared" si="14"/>
        <v>4.3666666666666671</v>
      </c>
      <c r="D523">
        <f t="shared" si="15"/>
        <v>485.25</v>
      </c>
    </row>
    <row r="524" spans="1:4">
      <c r="A524">
        <v>522</v>
      </c>
      <c r="B524" s="23">
        <f t="shared" si="13"/>
        <v>21.4</v>
      </c>
      <c r="C524" s="23">
        <f t="shared" si="14"/>
        <v>4.4000000000000004</v>
      </c>
      <c r="D524">
        <f t="shared" si="15"/>
        <v>489.5</v>
      </c>
    </row>
    <row r="525" spans="1:4">
      <c r="A525">
        <v>523</v>
      </c>
      <c r="B525" s="23">
        <f t="shared" si="13"/>
        <v>21.433333333333334</v>
      </c>
      <c r="C525" s="23">
        <f t="shared" si="14"/>
        <v>4.4333333333333336</v>
      </c>
      <c r="D525">
        <f t="shared" si="15"/>
        <v>493.75</v>
      </c>
    </row>
    <row r="526" spans="1:4">
      <c r="A526">
        <v>524</v>
      </c>
      <c r="B526" s="23">
        <f t="shared" si="13"/>
        <v>21.466666666666665</v>
      </c>
      <c r="C526" s="23">
        <f t="shared" si="14"/>
        <v>4.4666666666666668</v>
      </c>
      <c r="D526">
        <f t="shared" si="15"/>
        <v>498</v>
      </c>
    </row>
    <row r="527" spans="1:4">
      <c r="A527">
        <v>525</v>
      </c>
      <c r="B527" s="23">
        <f t="shared" si="13"/>
        <v>21.5</v>
      </c>
      <c r="C527" s="23">
        <f t="shared" si="14"/>
        <v>4.5</v>
      </c>
      <c r="D527">
        <f t="shared" si="15"/>
        <v>502.25</v>
      </c>
    </row>
    <row r="528" spans="1:4">
      <c r="A528">
        <v>526</v>
      </c>
      <c r="B528" s="23">
        <f t="shared" si="13"/>
        <v>21.533333333333335</v>
      </c>
      <c r="C528" s="23">
        <f t="shared" si="14"/>
        <v>4.5333333333333332</v>
      </c>
      <c r="D528">
        <f t="shared" si="15"/>
        <v>506.5</v>
      </c>
    </row>
    <row r="529" spans="1:4">
      <c r="A529">
        <v>527</v>
      </c>
      <c r="B529" s="23">
        <f t="shared" si="13"/>
        <v>21.566666666666666</v>
      </c>
      <c r="C529" s="23">
        <f t="shared" si="14"/>
        <v>4.5666666666666664</v>
      </c>
      <c r="D529">
        <f t="shared" si="15"/>
        <v>510.75</v>
      </c>
    </row>
    <row r="530" spans="1:4">
      <c r="A530">
        <v>528</v>
      </c>
      <c r="B530" s="23">
        <f t="shared" si="13"/>
        <v>21.6</v>
      </c>
      <c r="C530" s="23">
        <f t="shared" si="14"/>
        <v>4.5999999999999996</v>
      </c>
      <c r="D530">
        <f t="shared" si="15"/>
        <v>515</v>
      </c>
    </row>
    <row r="531" spans="1:4">
      <c r="A531">
        <v>529</v>
      </c>
      <c r="B531" s="23">
        <f t="shared" si="13"/>
        <v>21.633333333333333</v>
      </c>
      <c r="C531" s="23">
        <f t="shared" si="14"/>
        <v>4.6333333333333329</v>
      </c>
      <c r="D531">
        <f t="shared" si="15"/>
        <v>519.25</v>
      </c>
    </row>
    <row r="532" spans="1:4">
      <c r="A532">
        <v>530</v>
      </c>
      <c r="B532" s="23">
        <f t="shared" si="13"/>
        <v>21.666666666666668</v>
      </c>
      <c r="C532" s="23">
        <f t="shared" si="14"/>
        <v>4.666666666666667</v>
      </c>
      <c r="D532">
        <f t="shared" si="15"/>
        <v>523.5</v>
      </c>
    </row>
    <row r="533" spans="1:4">
      <c r="A533">
        <v>531</v>
      </c>
      <c r="B533" s="23">
        <f t="shared" si="13"/>
        <v>21.7</v>
      </c>
      <c r="C533" s="23">
        <f t="shared" si="14"/>
        <v>4.7</v>
      </c>
      <c r="D533">
        <f t="shared" si="15"/>
        <v>527.75</v>
      </c>
    </row>
    <row r="534" spans="1:4">
      <c r="A534">
        <v>532</v>
      </c>
      <c r="B534" s="23">
        <f t="shared" si="13"/>
        <v>21.733333333333334</v>
      </c>
      <c r="C534" s="23">
        <f t="shared" si="14"/>
        <v>4.7333333333333334</v>
      </c>
      <c r="D534">
        <f t="shared" si="15"/>
        <v>532</v>
      </c>
    </row>
    <row r="535" spans="1:4">
      <c r="A535">
        <v>533</v>
      </c>
      <c r="B535" s="23">
        <f t="shared" si="13"/>
        <v>21.766666666666666</v>
      </c>
      <c r="C535" s="23">
        <f t="shared" si="14"/>
        <v>4.7666666666666666</v>
      </c>
      <c r="D535">
        <f t="shared" si="15"/>
        <v>536.25</v>
      </c>
    </row>
    <row r="536" spans="1:4">
      <c r="A536">
        <v>534</v>
      </c>
      <c r="B536" s="23">
        <f t="shared" si="13"/>
        <v>21.8</v>
      </c>
      <c r="C536" s="23">
        <f t="shared" si="14"/>
        <v>4.8</v>
      </c>
      <c r="D536">
        <f t="shared" si="15"/>
        <v>540.5</v>
      </c>
    </row>
    <row r="537" spans="1:4">
      <c r="A537">
        <v>535</v>
      </c>
      <c r="B537" s="23">
        <f t="shared" si="13"/>
        <v>21.833333333333332</v>
      </c>
      <c r="C537" s="23">
        <f t="shared" si="14"/>
        <v>4.833333333333333</v>
      </c>
      <c r="D537">
        <f t="shared" si="15"/>
        <v>544.75</v>
      </c>
    </row>
    <row r="538" spans="1:4">
      <c r="A538">
        <v>536</v>
      </c>
      <c r="B538" s="23">
        <f t="shared" si="13"/>
        <v>21.866666666666667</v>
      </c>
      <c r="C538" s="23">
        <f t="shared" si="14"/>
        <v>4.8666666666666671</v>
      </c>
      <c r="D538">
        <f t="shared" si="15"/>
        <v>549</v>
      </c>
    </row>
    <row r="539" spans="1:4">
      <c r="A539">
        <v>537</v>
      </c>
      <c r="B539" s="23">
        <f t="shared" si="13"/>
        <v>21.9</v>
      </c>
      <c r="C539" s="23">
        <f t="shared" si="14"/>
        <v>4.9000000000000004</v>
      </c>
      <c r="D539">
        <f t="shared" si="15"/>
        <v>553.25</v>
      </c>
    </row>
    <row r="540" spans="1:4">
      <c r="A540">
        <v>538</v>
      </c>
      <c r="B540" s="23">
        <f t="shared" si="13"/>
        <v>21.933333333333334</v>
      </c>
      <c r="C540" s="23">
        <f t="shared" si="14"/>
        <v>4.9333333333333336</v>
      </c>
      <c r="D540">
        <f t="shared" si="15"/>
        <v>557.5</v>
      </c>
    </row>
    <row r="541" spans="1:4">
      <c r="A541">
        <v>539</v>
      </c>
      <c r="B541" s="23">
        <f t="shared" si="13"/>
        <v>21.966666666666665</v>
      </c>
      <c r="C541" s="23">
        <f t="shared" si="14"/>
        <v>4.9666666666666668</v>
      </c>
      <c r="D541">
        <f t="shared" si="15"/>
        <v>561.75</v>
      </c>
    </row>
    <row r="542" spans="1:4">
      <c r="A542">
        <v>540</v>
      </c>
      <c r="B542" s="23">
        <f t="shared" si="13"/>
        <v>22</v>
      </c>
      <c r="C542" s="20">
        <v>5</v>
      </c>
      <c r="D542" s="5">
        <v>566</v>
      </c>
    </row>
    <row r="543" spans="1:4">
      <c r="A543">
        <v>541</v>
      </c>
      <c r="B543" s="23">
        <f t="shared" si="13"/>
        <v>22.033333333333331</v>
      </c>
      <c r="C543" s="23">
        <f>(A543-$A$542)*2/60+5</f>
        <v>5.0333333333333332</v>
      </c>
      <c r="D543" s="23">
        <f>$D$542-(A543-$A$542)*($D$542-$D$602)/60</f>
        <v>569.76666666666665</v>
      </c>
    </row>
    <row r="544" spans="1:4">
      <c r="A544">
        <v>542</v>
      </c>
      <c r="B544" s="23">
        <f t="shared" si="13"/>
        <v>22.066666666666666</v>
      </c>
      <c r="C544" s="23">
        <f t="shared" ref="C544:C601" si="16">(A544-$A$542)*2/60+5</f>
        <v>5.0666666666666664</v>
      </c>
      <c r="D544" s="23">
        <f t="shared" ref="D544:D601" si="17">$D$542-(A544-$A$542)*($D$542-$D$602)/60</f>
        <v>573.5333333333333</v>
      </c>
    </row>
    <row r="545" spans="1:4">
      <c r="A545">
        <v>543</v>
      </c>
      <c r="B545" s="23">
        <f t="shared" si="13"/>
        <v>22.1</v>
      </c>
      <c r="C545" s="23">
        <f t="shared" si="16"/>
        <v>5.0999999999999996</v>
      </c>
      <c r="D545" s="23">
        <f t="shared" si="17"/>
        <v>577.29999999999995</v>
      </c>
    </row>
    <row r="546" spans="1:4">
      <c r="A546">
        <v>544</v>
      </c>
      <c r="B546" s="23">
        <f t="shared" si="13"/>
        <v>22.133333333333333</v>
      </c>
      <c r="C546" s="23">
        <f t="shared" si="16"/>
        <v>5.1333333333333337</v>
      </c>
      <c r="D546" s="23">
        <f t="shared" si="17"/>
        <v>581.06666666666672</v>
      </c>
    </row>
    <row r="547" spans="1:4">
      <c r="A547">
        <v>545</v>
      </c>
      <c r="B547" s="23">
        <f t="shared" si="13"/>
        <v>22.166666666666668</v>
      </c>
      <c r="C547" s="23">
        <f t="shared" si="16"/>
        <v>5.166666666666667</v>
      </c>
      <c r="D547" s="23">
        <f t="shared" si="17"/>
        <v>584.83333333333337</v>
      </c>
    </row>
    <row r="548" spans="1:4">
      <c r="A548">
        <v>546</v>
      </c>
      <c r="B548" s="23">
        <f t="shared" ref="B548:B611" si="18">(A548-$A$482)*2/60+20</f>
        <v>22.2</v>
      </c>
      <c r="C548" s="23">
        <f t="shared" si="16"/>
        <v>5.2</v>
      </c>
      <c r="D548" s="23">
        <f t="shared" si="17"/>
        <v>588.6</v>
      </c>
    </row>
    <row r="549" spans="1:4">
      <c r="A549">
        <v>547</v>
      </c>
      <c r="B549" s="23">
        <f t="shared" si="18"/>
        <v>22.233333333333334</v>
      </c>
      <c r="C549" s="23">
        <f t="shared" si="16"/>
        <v>5.2333333333333334</v>
      </c>
      <c r="D549" s="23">
        <f t="shared" si="17"/>
        <v>592.36666666666667</v>
      </c>
    </row>
    <row r="550" spans="1:4">
      <c r="A550">
        <v>548</v>
      </c>
      <c r="B550" s="23">
        <f t="shared" si="18"/>
        <v>22.266666666666666</v>
      </c>
      <c r="C550" s="23">
        <f t="shared" si="16"/>
        <v>5.2666666666666666</v>
      </c>
      <c r="D550" s="23">
        <f t="shared" si="17"/>
        <v>596.13333333333333</v>
      </c>
    </row>
    <row r="551" spans="1:4">
      <c r="A551">
        <v>549</v>
      </c>
      <c r="B551" s="23">
        <f t="shared" si="18"/>
        <v>22.3</v>
      </c>
      <c r="C551" s="23">
        <f t="shared" si="16"/>
        <v>5.3</v>
      </c>
      <c r="D551" s="23">
        <f t="shared" si="17"/>
        <v>599.9</v>
      </c>
    </row>
    <row r="552" spans="1:4">
      <c r="A552">
        <v>550</v>
      </c>
      <c r="B552" s="23">
        <f t="shared" si="18"/>
        <v>22.333333333333332</v>
      </c>
      <c r="C552" s="23">
        <f t="shared" si="16"/>
        <v>5.333333333333333</v>
      </c>
      <c r="D552" s="23">
        <f t="shared" si="17"/>
        <v>603.66666666666663</v>
      </c>
    </row>
    <row r="553" spans="1:4">
      <c r="A553">
        <v>551</v>
      </c>
      <c r="B553" s="23">
        <f t="shared" si="18"/>
        <v>22.366666666666667</v>
      </c>
      <c r="C553" s="23">
        <f t="shared" si="16"/>
        <v>5.3666666666666663</v>
      </c>
      <c r="D553" s="23">
        <f t="shared" si="17"/>
        <v>607.43333333333328</v>
      </c>
    </row>
    <row r="554" spans="1:4">
      <c r="A554">
        <v>552</v>
      </c>
      <c r="B554" s="23">
        <f t="shared" si="18"/>
        <v>22.4</v>
      </c>
      <c r="C554" s="23">
        <f t="shared" si="16"/>
        <v>5.4</v>
      </c>
      <c r="D554" s="23">
        <f t="shared" si="17"/>
        <v>611.20000000000005</v>
      </c>
    </row>
    <row r="555" spans="1:4">
      <c r="A555">
        <v>553</v>
      </c>
      <c r="B555" s="23">
        <f t="shared" si="18"/>
        <v>22.433333333333334</v>
      </c>
      <c r="C555" s="23">
        <f t="shared" si="16"/>
        <v>5.4333333333333336</v>
      </c>
      <c r="D555" s="23">
        <f t="shared" si="17"/>
        <v>614.9666666666667</v>
      </c>
    </row>
    <row r="556" spans="1:4">
      <c r="A556">
        <v>554</v>
      </c>
      <c r="B556" s="23">
        <f t="shared" si="18"/>
        <v>22.466666666666669</v>
      </c>
      <c r="C556" s="23">
        <f t="shared" si="16"/>
        <v>5.4666666666666668</v>
      </c>
      <c r="D556" s="23">
        <f t="shared" si="17"/>
        <v>618.73333333333335</v>
      </c>
    </row>
    <row r="557" spans="1:4">
      <c r="A557">
        <v>555</v>
      </c>
      <c r="B557" s="23">
        <f t="shared" si="18"/>
        <v>22.5</v>
      </c>
      <c r="C557" s="23">
        <f t="shared" si="16"/>
        <v>5.5</v>
      </c>
      <c r="D557" s="23">
        <f t="shared" si="17"/>
        <v>622.5</v>
      </c>
    </row>
    <row r="558" spans="1:4">
      <c r="A558">
        <v>556</v>
      </c>
      <c r="B558" s="23">
        <f t="shared" si="18"/>
        <v>22.533333333333331</v>
      </c>
      <c r="C558" s="23">
        <f t="shared" si="16"/>
        <v>5.5333333333333332</v>
      </c>
      <c r="D558" s="23">
        <f t="shared" si="17"/>
        <v>626.26666666666665</v>
      </c>
    </row>
    <row r="559" spans="1:4">
      <c r="A559">
        <v>557</v>
      </c>
      <c r="B559" s="23">
        <f t="shared" si="18"/>
        <v>22.566666666666666</v>
      </c>
      <c r="C559" s="23">
        <f t="shared" si="16"/>
        <v>5.5666666666666664</v>
      </c>
      <c r="D559" s="23">
        <f t="shared" si="17"/>
        <v>630.0333333333333</v>
      </c>
    </row>
    <row r="560" spans="1:4">
      <c r="A560">
        <v>558</v>
      </c>
      <c r="B560" s="23">
        <f t="shared" si="18"/>
        <v>22.6</v>
      </c>
      <c r="C560" s="23">
        <f t="shared" si="16"/>
        <v>5.6</v>
      </c>
      <c r="D560" s="23">
        <f t="shared" si="17"/>
        <v>633.79999999999995</v>
      </c>
    </row>
    <row r="561" spans="1:4">
      <c r="A561">
        <v>559</v>
      </c>
      <c r="B561" s="23">
        <f t="shared" si="18"/>
        <v>22.633333333333333</v>
      </c>
      <c r="C561" s="23">
        <f t="shared" si="16"/>
        <v>5.6333333333333329</v>
      </c>
      <c r="D561" s="23">
        <f t="shared" si="17"/>
        <v>637.56666666666661</v>
      </c>
    </row>
    <row r="562" spans="1:4">
      <c r="A562">
        <v>560</v>
      </c>
      <c r="B562" s="23">
        <f t="shared" si="18"/>
        <v>22.666666666666668</v>
      </c>
      <c r="C562" s="23">
        <f t="shared" si="16"/>
        <v>5.666666666666667</v>
      </c>
      <c r="D562" s="23">
        <f t="shared" si="17"/>
        <v>641.33333333333337</v>
      </c>
    </row>
    <row r="563" spans="1:4">
      <c r="A563">
        <v>561</v>
      </c>
      <c r="B563" s="23">
        <f t="shared" si="18"/>
        <v>22.7</v>
      </c>
      <c r="C563" s="23">
        <f t="shared" si="16"/>
        <v>5.7</v>
      </c>
      <c r="D563" s="23">
        <f t="shared" si="17"/>
        <v>645.1</v>
      </c>
    </row>
    <row r="564" spans="1:4">
      <c r="A564">
        <v>562</v>
      </c>
      <c r="B564" s="23">
        <f t="shared" si="18"/>
        <v>22.733333333333334</v>
      </c>
      <c r="C564" s="23">
        <f t="shared" si="16"/>
        <v>5.7333333333333334</v>
      </c>
      <c r="D564" s="23">
        <f t="shared" si="17"/>
        <v>648.86666666666667</v>
      </c>
    </row>
    <row r="565" spans="1:4">
      <c r="A565">
        <v>563</v>
      </c>
      <c r="B565" s="23">
        <f t="shared" si="18"/>
        <v>22.766666666666666</v>
      </c>
      <c r="C565" s="23">
        <f t="shared" si="16"/>
        <v>5.7666666666666666</v>
      </c>
      <c r="D565" s="23">
        <f t="shared" si="17"/>
        <v>652.63333333333333</v>
      </c>
    </row>
    <row r="566" spans="1:4">
      <c r="A566">
        <v>564</v>
      </c>
      <c r="B566" s="23">
        <f t="shared" si="18"/>
        <v>22.8</v>
      </c>
      <c r="C566" s="23">
        <f t="shared" si="16"/>
        <v>5.8</v>
      </c>
      <c r="D566" s="23">
        <f t="shared" si="17"/>
        <v>656.4</v>
      </c>
    </row>
    <row r="567" spans="1:4">
      <c r="A567">
        <v>565</v>
      </c>
      <c r="B567" s="23">
        <f t="shared" si="18"/>
        <v>22.833333333333332</v>
      </c>
      <c r="C567" s="23">
        <f t="shared" si="16"/>
        <v>5.833333333333333</v>
      </c>
      <c r="D567" s="23">
        <f t="shared" si="17"/>
        <v>660.16666666666663</v>
      </c>
    </row>
    <row r="568" spans="1:4">
      <c r="A568">
        <v>566</v>
      </c>
      <c r="B568" s="23">
        <f t="shared" si="18"/>
        <v>22.866666666666667</v>
      </c>
      <c r="C568" s="23">
        <f t="shared" si="16"/>
        <v>5.8666666666666671</v>
      </c>
      <c r="D568" s="23">
        <f t="shared" si="17"/>
        <v>663.93333333333339</v>
      </c>
    </row>
    <row r="569" spans="1:4">
      <c r="A569">
        <v>567</v>
      </c>
      <c r="B569" s="23">
        <f t="shared" si="18"/>
        <v>22.9</v>
      </c>
      <c r="C569" s="23">
        <f t="shared" si="16"/>
        <v>5.9</v>
      </c>
      <c r="D569" s="23">
        <f t="shared" si="17"/>
        <v>667.7</v>
      </c>
    </row>
    <row r="570" spans="1:4">
      <c r="A570">
        <v>568</v>
      </c>
      <c r="B570" s="23">
        <f t="shared" si="18"/>
        <v>22.933333333333334</v>
      </c>
      <c r="C570" s="23">
        <f t="shared" si="16"/>
        <v>5.9333333333333336</v>
      </c>
      <c r="D570" s="23">
        <f t="shared" si="17"/>
        <v>671.4666666666667</v>
      </c>
    </row>
    <row r="571" spans="1:4">
      <c r="A571">
        <v>569</v>
      </c>
      <c r="B571" s="23">
        <f t="shared" si="18"/>
        <v>22.966666666666669</v>
      </c>
      <c r="C571" s="23">
        <f t="shared" si="16"/>
        <v>5.9666666666666668</v>
      </c>
      <c r="D571" s="23">
        <f t="shared" si="17"/>
        <v>675.23333333333335</v>
      </c>
    </row>
    <row r="572" spans="1:4">
      <c r="A572">
        <v>570</v>
      </c>
      <c r="B572" s="23">
        <f t="shared" si="18"/>
        <v>23</v>
      </c>
      <c r="C572" s="23">
        <f t="shared" si="16"/>
        <v>6</v>
      </c>
      <c r="D572" s="23">
        <f t="shared" si="17"/>
        <v>679</v>
      </c>
    </row>
    <row r="573" spans="1:4">
      <c r="A573">
        <v>571</v>
      </c>
      <c r="B573" s="23">
        <f t="shared" si="18"/>
        <v>23.033333333333331</v>
      </c>
      <c r="C573" s="23">
        <f t="shared" si="16"/>
        <v>6.0333333333333332</v>
      </c>
      <c r="D573" s="23">
        <f t="shared" si="17"/>
        <v>682.76666666666665</v>
      </c>
    </row>
    <row r="574" spans="1:4">
      <c r="A574">
        <v>572</v>
      </c>
      <c r="B574" s="23">
        <f t="shared" si="18"/>
        <v>23.066666666666666</v>
      </c>
      <c r="C574" s="23">
        <f t="shared" si="16"/>
        <v>6.0666666666666664</v>
      </c>
      <c r="D574" s="23">
        <f t="shared" si="17"/>
        <v>686.5333333333333</v>
      </c>
    </row>
    <row r="575" spans="1:4">
      <c r="A575">
        <v>573</v>
      </c>
      <c r="B575" s="23">
        <f t="shared" si="18"/>
        <v>23.1</v>
      </c>
      <c r="C575" s="23">
        <f t="shared" si="16"/>
        <v>6.1</v>
      </c>
      <c r="D575" s="23">
        <f t="shared" si="17"/>
        <v>690.3</v>
      </c>
    </row>
    <row r="576" spans="1:4">
      <c r="A576">
        <v>574</v>
      </c>
      <c r="B576" s="23">
        <f t="shared" si="18"/>
        <v>23.133333333333333</v>
      </c>
      <c r="C576" s="23">
        <f t="shared" si="16"/>
        <v>6.1333333333333329</v>
      </c>
      <c r="D576" s="23">
        <f t="shared" si="17"/>
        <v>694.06666666666661</v>
      </c>
    </row>
    <row r="577" spans="1:4">
      <c r="A577">
        <v>575</v>
      </c>
      <c r="B577" s="23">
        <f t="shared" si="18"/>
        <v>23.166666666666668</v>
      </c>
      <c r="C577" s="23">
        <f t="shared" si="16"/>
        <v>6.166666666666667</v>
      </c>
      <c r="D577" s="23">
        <f t="shared" si="17"/>
        <v>697.83333333333337</v>
      </c>
    </row>
    <row r="578" spans="1:4">
      <c r="A578">
        <v>576</v>
      </c>
      <c r="B578" s="23">
        <f t="shared" si="18"/>
        <v>23.2</v>
      </c>
      <c r="C578" s="23">
        <f t="shared" si="16"/>
        <v>6.2</v>
      </c>
      <c r="D578" s="23">
        <f t="shared" si="17"/>
        <v>701.6</v>
      </c>
    </row>
    <row r="579" spans="1:4">
      <c r="A579">
        <v>577</v>
      </c>
      <c r="B579" s="23">
        <f t="shared" si="18"/>
        <v>23.233333333333334</v>
      </c>
      <c r="C579" s="23">
        <f t="shared" si="16"/>
        <v>6.2333333333333334</v>
      </c>
      <c r="D579" s="23">
        <f t="shared" si="17"/>
        <v>705.36666666666667</v>
      </c>
    </row>
    <row r="580" spans="1:4">
      <c r="A580">
        <v>578</v>
      </c>
      <c r="B580" s="23">
        <f t="shared" si="18"/>
        <v>23.266666666666666</v>
      </c>
      <c r="C580" s="23">
        <f t="shared" si="16"/>
        <v>6.2666666666666666</v>
      </c>
      <c r="D580" s="23">
        <f t="shared" si="17"/>
        <v>709.13333333333333</v>
      </c>
    </row>
    <row r="581" spans="1:4">
      <c r="A581">
        <v>579</v>
      </c>
      <c r="B581" s="23">
        <f t="shared" si="18"/>
        <v>23.3</v>
      </c>
      <c r="C581" s="23">
        <f t="shared" si="16"/>
        <v>6.3</v>
      </c>
      <c r="D581" s="23">
        <f t="shared" si="17"/>
        <v>712.9</v>
      </c>
    </row>
    <row r="582" spans="1:4">
      <c r="A582">
        <v>580</v>
      </c>
      <c r="B582" s="23">
        <f t="shared" si="18"/>
        <v>23.333333333333332</v>
      </c>
      <c r="C582" s="23">
        <f t="shared" si="16"/>
        <v>6.333333333333333</v>
      </c>
      <c r="D582" s="23">
        <f t="shared" si="17"/>
        <v>716.66666666666663</v>
      </c>
    </row>
    <row r="583" spans="1:4">
      <c r="A583">
        <v>581</v>
      </c>
      <c r="B583" s="23">
        <f t="shared" si="18"/>
        <v>23.366666666666667</v>
      </c>
      <c r="C583" s="23">
        <f t="shared" si="16"/>
        <v>6.3666666666666671</v>
      </c>
      <c r="D583" s="23">
        <f t="shared" si="17"/>
        <v>720.43333333333339</v>
      </c>
    </row>
    <row r="584" spans="1:4">
      <c r="A584">
        <v>582</v>
      </c>
      <c r="B584" s="23">
        <f t="shared" si="18"/>
        <v>23.4</v>
      </c>
      <c r="C584" s="23">
        <f t="shared" si="16"/>
        <v>6.4</v>
      </c>
      <c r="D584" s="23">
        <f t="shared" si="17"/>
        <v>724.2</v>
      </c>
    </row>
    <row r="585" spans="1:4">
      <c r="A585">
        <v>583</v>
      </c>
      <c r="B585" s="23">
        <f t="shared" si="18"/>
        <v>23.433333333333334</v>
      </c>
      <c r="C585" s="23">
        <f t="shared" si="16"/>
        <v>6.4333333333333336</v>
      </c>
      <c r="D585" s="23">
        <f t="shared" si="17"/>
        <v>727.9666666666667</v>
      </c>
    </row>
    <row r="586" spans="1:4">
      <c r="A586">
        <v>584</v>
      </c>
      <c r="B586" s="23">
        <f t="shared" si="18"/>
        <v>23.466666666666669</v>
      </c>
      <c r="C586" s="23">
        <f t="shared" si="16"/>
        <v>6.4666666666666668</v>
      </c>
      <c r="D586" s="23">
        <f t="shared" si="17"/>
        <v>731.73333333333335</v>
      </c>
    </row>
    <row r="587" spans="1:4">
      <c r="A587">
        <v>585</v>
      </c>
      <c r="B587" s="23">
        <f t="shared" si="18"/>
        <v>23.5</v>
      </c>
      <c r="C587" s="23">
        <f t="shared" si="16"/>
        <v>6.5</v>
      </c>
      <c r="D587" s="23">
        <f t="shared" si="17"/>
        <v>735.5</v>
      </c>
    </row>
    <row r="588" spans="1:4">
      <c r="A588">
        <v>586</v>
      </c>
      <c r="B588" s="23">
        <f t="shared" si="18"/>
        <v>23.533333333333331</v>
      </c>
      <c r="C588" s="23">
        <f t="shared" si="16"/>
        <v>6.5333333333333332</v>
      </c>
      <c r="D588" s="23">
        <f t="shared" si="17"/>
        <v>739.26666666666665</v>
      </c>
    </row>
    <row r="589" spans="1:4">
      <c r="A589">
        <v>587</v>
      </c>
      <c r="B589" s="23">
        <f t="shared" si="18"/>
        <v>23.566666666666666</v>
      </c>
      <c r="C589" s="23">
        <f t="shared" si="16"/>
        <v>6.5666666666666664</v>
      </c>
      <c r="D589" s="23">
        <f t="shared" si="17"/>
        <v>743.0333333333333</v>
      </c>
    </row>
    <row r="590" spans="1:4">
      <c r="A590">
        <v>588</v>
      </c>
      <c r="B590" s="23">
        <f t="shared" si="18"/>
        <v>23.6</v>
      </c>
      <c r="C590" s="23">
        <f t="shared" si="16"/>
        <v>6.6</v>
      </c>
      <c r="D590" s="23">
        <f t="shared" si="17"/>
        <v>746.8</v>
      </c>
    </row>
    <row r="591" spans="1:4">
      <c r="A591">
        <v>589</v>
      </c>
      <c r="B591" s="23">
        <f t="shared" si="18"/>
        <v>23.633333333333333</v>
      </c>
      <c r="C591" s="23">
        <f t="shared" si="16"/>
        <v>6.6333333333333329</v>
      </c>
      <c r="D591" s="23">
        <f t="shared" si="17"/>
        <v>750.56666666666661</v>
      </c>
    </row>
    <row r="592" spans="1:4">
      <c r="A592">
        <v>590</v>
      </c>
      <c r="B592" s="23">
        <f t="shared" si="18"/>
        <v>23.666666666666668</v>
      </c>
      <c r="C592" s="23">
        <f t="shared" si="16"/>
        <v>6.666666666666667</v>
      </c>
      <c r="D592" s="23">
        <f t="shared" si="17"/>
        <v>754.33333333333337</v>
      </c>
    </row>
    <row r="593" spans="1:4">
      <c r="A593">
        <v>591</v>
      </c>
      <c r="B593" s="23">
        <f t="shared" si="18"/>
        <v>23.7</v>
      </c>
      <c r="C593" s="23">
        <f t="shared" si="16"/>
        <v>6.7</v>
      </c>
      <c r="D593" s="23">
        <f t="shared" si="17"/>
        <v>758.1</v>
      </c>
    </row>
    <row r="594" spans="1:4">
      <c r="A594">
        <v>592</v>
      </c>
      <c r="B594" s="23">
        <f t="shared" si="18"/>
        <v>23.733333333333334</v>
      </c>
      <c r="C594" s="23">
        <f t="shared" si="16"/>
        <v>6.7333333333333334</v>
      </c>
      <c r="D594" s="23">
        <f t="shared" si="17"/>
        <v>761.86666666666667</v>
      </c>
    </row>
    <row r="595" spans="1:4">
      <c r="A595">
        <v>593</v>
      </c>
      <c r="B595" s="23">
        <f t="shared" si="18"/>
        <v>23.766666666666666</v>
      </c>
      <c r="C595" s="23">
        <f t="shared" si="16"/>
        <v>6.7666666666666666</v>
      </c>
      <c r="D595" s="23">
        <f t="shared" si="17"/>
        <v>765.63333333333333</v>
      </c>
    </row>
    <row r="596" spans="1:4">
      <c r="A596">
        <v>594</v>
      </c>
      <c r="B596" s="23">
        <f t="shared" si="18"/>
        <v>23.8</v>
      </c>
      <c r="C596" s="23">
        <f t="shared" si="16"/>
        <v>6.8</v>
      </c>
      <c r="D596" s="23">
        <f t="shared" si="17"/>
        <v>769.4</v>
      </c>
    </row>
    <row r="597" spans="1:4">
      <c r="A597">
        <v>595</v>
      </c>
      <c r="B597" s="23">
        <f t="shared" si="18"/>
        <v>23.833333333333332</v>
      </c>
      <c r="C597" s="23">
        <f t="shared" si="16"/>
        <v>6.833333333333333</v>
      </c>
      <c r="D597" s="23">
        <f t="shared" si="17"/>
        <v>773.16666666666663</v>
      </c>
    </row>
    <row r="598" spans="1:4">
      <c r="A598">
        <v>596</v>
      </c>
      <c r="B598" s="23">
        <f t="shared" si="18"/>
        <v>23.866666666666667</v>
      </c>
      <c r="C598" s="23">
        <f t="shared" si="16"/>
        <v>6.8666666666666671</v>
      </c>
      <c r="D598" s="23">
        <f t="shared" si="17"/>
        <v>776.93333333333339</v>
      </c>
    </row>
    <row r="599" spans="1:4">
      <c r="A599">
        <v>597</v>
      </c>
      <c r="B599" s="23">
        <f t="shared" si="18"/>
        <v>23.9</v>
      </c>
      <c r="C599" s="23">
        <f t="shared" si="16"/>
        <v>6.9</v>
      </c>
      <c r="D599" s="23">
        <f t="shared" si="17"/>
        <v>780.7</v>
      </c>
    </row>
    <row r="600" spans="1:4">
      <c r="A600">
        <v>598</v>
      </c>
      <c r="B600" s="23">
        <f t="shared" si="18"/>
        <v>23.933333333333334</v>
      </c>
      <c r="C600" s="23">
        <f t="shared" si="16"/>
        <v>6.9333333333333336</v>
      </c>
      <c r="D600" s="23">
        <f t="shared" si="17"/>
        <v>784.4666666666667</v>
      </c>
    </row>
    <row r="601" spans="1:4">
      <c r="A601">
        <v>599</v>
      </c>
      <c r="B601" s="23">
        <f t="shared" si="18"/>
        <v>23.966666666666669</v>
      </c>
      <c r="C601" s="23">
        <f t="shared" si="16"/>
        <v>6.9666666666666668</v>
      </c>
      <c r="D601" s="23">
        <f t="shared" si="17"/>
        <v>788.23333333333335</v>
      </c>
    </row>
    <row r="602" spans="1:4">
      <c r="A602">
        <v>600</v>
      </c>
      <c r="B602" s="23">
        <f t="shared" si="18"/>
        <v>24</v>
      </c>
      <c r="C602" s="20">
        <v>7</v>
      </c>
      <c r="D602" s="5">
        <v>792</v>
      </c>
    </row>
    <row r="603" spans="1:4">
      <c r="A603">
        <v>601</v>
      </c>
      <c r="B603" s="23">
        <f t="shared" si="18"/>
        <v>24.033333333333331</v>
      </c>
      <c r="C603" s="23">
        <f>(A603-$A$602)/60+7</f>
        <v>7.0166666666666666</v>
      </c>
      <c r="D603">
        <f>$D$602-(A603-$A$602)*($D$602-$D$662)/60</f>
        <v>794.85</v>
      </c>
    </row>
    <row r="604" spans="1:4">
      <c r="A604">
        <v>602</v>
      </c>
      <c r="B604" s="23">
        <f t="shared" si="18"/>
        <v>24.066666666666666</v>
      </c>
      <c r="C604" s="23">
        <f t="shared" ref="C604:C667" si="19">(A604-$A$602)/60+7</f>
        <v>7.0333333333333332</v>
      </c>
      <c r="D604">
        <f t="shared" ref="D604:D661" si="20">$D$602-(A604-$A$602)*($D$602-$D$662)/60</f>
        <v>797.7</v>
      </c>
    </row>
    <row r="605" spans="1:4">
      <c r="A605">
        <v>603</v>
      </c>
      <c r="B605" s="23">
        <f t="shared" si="18"/>
        <v>24.1</v>
      </c>
      <c r="C605" s="23">
        <f t="shared" si="19"/>
        <v>7.05</v>
      </c>
      <c r="D605">
        <f t="shared" si="20"/>
        <v>800.55</v>
      </c>
    </row>
    <row r="606" spans="1:4">
      <c r="A606">
        <v>604</v>
      </c>
      <c r="B606" s="23">
        <f t="shared" si="18"/>
        <v>24.133333333333333</v>
      </c>
      <c r="C606" s="23">
        <f t="shared" si="19"/>
        <v>7.0666666666666664</v>
      </c>
      <c r="D606">
        <f t="shared" si="20"/>
        <v>803.4</v>
      </c>
    </row>
    <row r="607" spans="1:4">
      <c r="A607">
        <v>605</v>
      </c>
      <c r="B607" s="23">
        <f t="shared" si="18"/>
        <v>24.166666666666668</v>
      </c>
      <c r="C607" s="23">
        <f t="shared" si="19"/>
        <v>7.083333333333333</v>
      </c>
      <c r="D607">
        <f t="shared" si="20"/>
        <v>806.25</v>
      </c>
    </row>
    <row r="608" spans="1:4">
      <c r="A608">
        <v>606</v>
      </c>
      <c r="B608" s="23">
        <f t="shared" si="18"/>
        <v>24.2</v>
      </c>
      <c r="C608" s="23">
        <f t="shared" si="19"/>
        <v>7.1</v>
      </c>
      <c r="D608">
        <f t="shared" si="20"/>
        <v>809.1</v>
      </c>
    </row>
    <row r="609" spans="1:4">
      <c r="A609">
        <v>607</v>
      </c>
      <c r="B609" s="23">
        <f t="shared" si="18"/>
        <v>24.233333333333334</v>
      </c>
      <c r="C609" s="23">
        <f t="shared" si="19"/>
        <v>7.1166666666666663</v>
      </c>
      <c r="D609">
        <f t="shared" si="20"/>
        <v>811.95</v>
      </c>
    </row>
    <row r="610" spans="1:4">
      <c r="A610">
        <v>608</v>
      </c>
      <c r="B610" s="23">
        <f t="shared" si="18"/>
        <v>24.266666666666666</v>
      </c>
      <c r="C610" s="23">
        <f t="shared" si="19"/>
        <v>7.1333333333333337</v>
      </c>
      <c r="D610">
        <f t="shared" si="20"/>
        <v>814.8</v>
      </c>
    </row>
    <row r="611" spans="1:4">
      <c r="A611">
        <v>609</v>
      </c>
      <c r="B611" s="23">
        <f t="shared" si="18"/>
        <v>24.3</v>
      </c>
      <c r="C611" s="23">
        <f t="shared" si="19"/>
        <v>7.15</v>
      </c>
      <c r="D611">
        <f t="shared" si="20"/>
        <v>817.65</v>
      </c>
    </row>
    <row r="612" spans="1:4">
      <c r="A612">
        <v>610</v>
      </c>
      <c r="B612" s="23">
        <f t="shared" ref="B612:B675" si="21">(A612-$A$482)*2/60+20</f>
        <v>24.333333333333332</v>
      </c>
      <c r="C612" s="23">
        <f t="shared" si="19"/>
        <v>7.166666666666667</v>
      </c>
      <c r="D612">
        <f t="shared" si="20"/>
        <v>820.5</v>
      </c>
    </row>
    <row r="613" spans="1:4">
      <c r="A613">
        <v>611</v>
      </c>
      <c r="B613" s="23">
        <f t="shared" si="21"/>
        <v>24.366666666666667</v>
      </c>
      <c r="C613" s="23">
        <f t="shared" si="19"/>
        <v>7.1833333333333336</v>
      </c>
      <c r="D613">
        <f t="shared" si="20"/>
        <v>823.35</v>
      </c>
    </row>
    <row r="614" spans="1:4">
      <c r="A614">
        <v>612</v>
      </c>
      <c r="B614" s="23">
        <f t="shared" si="21"/>
        <v>24.4</v>
      </c>
      <c r="C614" s="23">
        <f t="shared" si="19"/>
        <v>7.2</v>
      </c>
      <c r="D614">
        <f t="shared" si="20"/>
        <v>826.2</v>
      </c>
    </row>
    <row r="615" spans="1:4">
      <c r="A615">
        <v>613</v>
      </c>
      <c r="B615" s="23">
        <f t="shared" si="21"/>
        <v>24.433333333333334</v>
      </c>
      <c r="C615" s="23">
        <f t="shared" si="19"/>
        <v>7.2166666666666668</v>
      </c>
      <c r="D615">
        <f t="shared" si="20"/>
        <v>829.05</v>
      </c>
    </row>
    <row r="616" spans="1:4">
      <c r="A616">
        <v>614</v>
      </c>
      <c r="B616" s="23">
        <f t="shared" si="21"/>
        <v>24.466666666666669</v>
      </c>
      <c r="C616" s="23">
        <f t="shared" si="19"/>
        <v>7.2333333333333334</v>
      </c>
      <c r="D616">
        <f t="shared" si="20"/>
        <v>831.9</v>
      </c>
    </row>
    <row r="617" spans="1:4">
      <c r="A617">
        <v>615</v>
      </c>
      <c r="B617" s="23">
        <f t="shared" si="21"/>
        <v>24.5</v>
      </c>
      <c r="C617" s="23">
        <f t="shared" si="19"/>
        <v>7.25</v>
      </c>
      <c r="D617">
        <f t="shared" si="20"/>
        <v>834.75</v>
      </c>
    </row>
    <row r="618" spans="1:4">
      <c r="A618">
        <v>616</v>
      </c>
      <c r="B618" s="23">
        <f t="shared" si="21"/>
        <v>24.533333333333331</v>
      </c>
      <c r="C618" s="23">
        <f t="shared" si="19"/>
        <v>7.2666666666666666</v>
      </c>
      <c r="D618">
        <f t="shared" si="20"/>
        <v>837.6</v>
      </c>
    </row>
    <row r="619" spans="1:4">
      <c r="A619">
        <v>617</v>
      </c>
      <c r="B619" s="23">
        <f t="shared" si="21"/>
        <v>24.566666666666666</v>
      </c>
      <c r="C619" s="23">
        <f t="shared" si="19"/>
        <v>7.2833333333333332</v>
      </c>
      <c r="D619">
        <f t="shared" si="20"/>
        <v>840.45</v>
      </c>
    </row>
    <row r="620" spans="1:4">
      <c r="A620">
        <v>618</v>
      </c>
      <c r="B620" s="23">
        <f t="shared" si="21"/>
        <v>24.6</v>
      </c>
      <c r="C620" s="23">
        <f t="shared" si="19"/>
        <v>7.3</v>
      </c>
      <c r="D620">
        <f t="shared" si="20"/>
        <v>843.3</v>
      </c>
    </row>
    <row r="621" spans="1:4">
      <c r="A621">
        <v>619</v>
      </c>
      <c r="B621" s="23">
        <f t="shared" si="21"/>
        <v>24.633333333333333</v>
      </c>
      <c r="C621" s="23">
        <f t="shared" si="19"/>
        <v>7.3166666666666664</v>
      </c>
      <c r="D621">
        <f t="shared" si="20"/>
        <v>846.15</v>
      </c>
    </row>
    <row r="622" spans="1:4">
      <c r="A622">
        <v>620</v>
      </c>
      <c r="B622" s="23">
        <f t="shared" si="21"/>
        <v>24.666666666666668</v>
      </c>
      <c r="C622" s="23">
        <f t="shared" si="19"/>
        <v>7.333333333333333</v>
      </c>
      <c r="D622">
        <f t="shared" si="20"/>
        <v>849</v>
      </c>
    </row>
    <row r="623" spans="1:4">
      <c r="A623">
        <v>621</v>
      </c>
      <c r="B623" s="23">
        <f t="shared" si="21"/>
        <v>24.7</v>
      </c>
      <c r="C623" s="23">
        <f t="shared" si="19"/>
        <v>7.35</v>
      </c>
      <c r="D623">
        <f t="shared" si="20"/>
        <v>851.85</v>
      </c>
    </row>
    <row r="624" spans="1:4">
      <c r="A624">
        <v>622</v>
      </c>
      <c r="B624" s="23">
        <f t="shared" si="21"/>
        <v>24.733333333333334</v>
      </c>
      <c r="C624" s="23">
        <f t="shared" si="19"/>
        <v>7.3666666666666663</v>
      </c>
      <c r="D624">
        <f t="shared" si="20"/>
        <v>854.7</v>
      </c>
    </row>
    <row r="625" spans="1:4">
      <c r="A625">
        <v>623</v>
      </c>
      <c r="B625" s="23">
        <f t="shared" si="21"/>
        <v>24.766666666666666</v>
      </c>
      <c r="C625" s="23">
        <f t="shared" si="19"/>
        <v>7.3833333333333337</v>
      </c>
      <c r="D625">
        <f t="shared" si="20"/>
        <v>857.55</v>
      </c>
    </row>
    <row r="626" spans="1:4">
      <c r="A626">
        <v>624</v>
      </c>
      <c r="B626" s="23">
        <f t="shared" si="21"/>
        <v>24.8</v>
      </c>
      <c r="C626" s="23">
        <f t="shared" si="19"/>
        <v>7.4</v>
      </c>
      <c r="D626">
        <f t="shared" si="20"/>
        <v>860.4</v>
      </c>
    </row>
    <row r="627" spans="1:4">
      <c r="A627">
        <v>625</v>
      </c>
      <c r="B627" s="23">
        <f t="shared" si="21"/>
        <v>24.833333333333332</v>
      </c>
      <c r="C627" s="23">
        <f t="shared" si="19"/>
        <v>7.416666666666667</v>
      </c>
      <c r="D627">
        <f t="shared" si="20"/>
        <v>863.25</v>
      </c>
    </row>
    <row r="628" spans="1:4">
      <c r="A628">
        <v>626</v>
      </c>
      <c r="B628" s="23">
        <f t="shared" si="21"/>
        <v>24.866666666666667</v>
      </c>
      <c r="C628" s="23">
        <f t="shared" si="19"/>
        <v>7.4333333333333336</v>
      </c>
      <c r="D628">
        <f t="shared" si="20"/>
        <v>866.1</v>
      </c>
    </row>
    <row r="629" spans="1:4">
      <c r="A629">
        <v>627</v>
      </c>
      <c r="B629" s="23">
        <f t="shared" si="21"/>
        <v>24.9</v>
      </c>
      <c r="C629" s="23">
        <f t="shared" si="19"/>
        <v>7.45</v>
      </c>
      <c r="D629">
        <f t="shared" si="20"/>
        <v>868.95</v>
      </c>
    </row>
    <row r="630" spans="1:4">
      <c r="A630">
        <v>628</v>
      </c>
      <c r="B630" s="23">
        <f t="shared" si="21"/>
        <v>24.933333333333334</v>
      </c>
      <c r="C630" s="23">
        <f t="shared" si="19"/>
        <v>7.4666666666666668</v>
      </c>
      <c r="D630">
        <f t="shared" si="20"/>
        <v>871.8</v>
      </c>
    </row>
    <row r="631" spans="1:4">
      <c r="A631">
        <v>629</v>
      </c>
      <c r="B631" s="23">
        <f t="shared" si="21"/>
        <v>24.966666666666669</v>
      </c>
      <c r="C631" s="23">
        <f t="shared" si="19"/>
        <v>7.4833333333333334</v>
      </c>
      <c r="D631">
        <f t="shared" si="20"/>
        <v>874.65</v>
      </c>
    </row>
    <row r="632" spans="1:4">
      <c r="A632">
        <v>630</v>
      </c>
      <c r="B632" s="23">
        <f t="shared" si="21"/>
        <v>25</v>
      </c>
      <c r="C632" s="23">
        <f t="shared" si="19"/>
        <v>7.5</v>
      </c>
      <c r="D632">
        <f t="shared" si="20"/>
        <v>877.5</v>
      </c>
    </row>
    <row r="633" spans="1:4">
      <c r="A633">
        <v>631</v>
      </c>
      <c r="B633" s="23">
        <f t="shared" si="21"/>
        <v>25.033333333333331</v>
      </c>
      <c r="C633" s="23">
        <f t="shared" si="19"/>
        <v>7.5166666666666666</v>
      </c>
      <c r="D633">
        <f t="shared" si="20"/>
        <v>880.35</v>
      </c>
    </row>
    <row r="634" spans="1:4">
      <c r="A634">
        <v>632</v>
      </c>
      <c r="B634" s="23">
        <f t="shared" si="21"/>
        <v>25.066666666666666</v>
      </c>
      <c r="C634" s="23">
        <f t="shared" si="19"/>
        <v>7.5333333333333332</v>
      </c>
      <c r="D634">
        <f t="shared" si="20"/>
        <v>883.2</v>
      </c>
    </row>
    <row r="635" spans="1:4">
      <c r="A635">
        <v>633</v>
      </c>
      <c r="B635" s="23">
        <f t="shared" si="21"/>
        <v>25.1</v>
      </c>
      <c r="C635" s="23">
        <f t="shared" si="19"/>
        <v>7.55</v>
      </c>
      <c r="D635">
        <f t="shared" si="20"/>
        <v>886.05</v>
      </c>
    </row>
    <row r="636" spans="1:4">
      <c r="A636">
        <v>634</v>
      </c>
      <c r="B636" s="23">
        <f t="shared" si="21"/>
        <v>25.133333333333333</v>
      </c>
      <c r="C636" s="23">
        <f t="shared" si="19"/>
        <v>7.5666666666666664</v>
      </c>
      <c r="D636">
        <f t="shared" si="20"/>
        <v>888.9</v>
      </c>
    </row>
    <row r="637" spans="1:4">
      <c r="A637">
        <v>635</v>
      </c>
      <c r="B637" s="23">
        <f t="shared" si="21"/>
        <v>25.166666666666668</v>
      </c>
      <c r="C637" s="23">
        <f t="shared" si="19"/>
        <v>7.583333333333333</v>
      </c>
      <c r="D637">
        <f t="shared" si="20"/>
        <v>891.75</v>
      </c>
    </row>
    <row r="638" spans="1:4">
      <c r="A638">
        <v>636</v>
      </c>
      <c r="B638" s="23">
        <f t="shared" si="21"/>
        <v>25.2</v>
      </c>
      <c r="C638" s="23">
        <f t="shared" si="19"/>
        <v>7.6</v>
      </c>
      <c r="D638">
        <f t="shared" si="20"/>
        <v>894.6</v>
      </c>
    </row>
    <row r="639" spans="1:4">
      <c r="A639">
        <v>637</v>
      </c>
      <c r="B639" s="23">
        <f t="shared" si="21"/>
        <v>25.233333333333334</v>
      </c>
      <c r="C639" s="23">
        <f t="shared" si="19"/>
        <v>7.6166666666666671</v>
      </c>
      <c r="D639">
        <f t="shared" si="20"/>
        <v>897.45</v>
      </c>
    </row>
    <row r="640" spans="1:4">
      <c r="A640">
        <v>638</v>
      </c>
      <c r="B640" s="23">
        <f t="shared" si="21"/>
        <v>25.266666666666666</v>
      </c>
      <c r="C640" s="23">
        <f t="shared" si="19"/>
        <v>7.6333333333333329</v>
      </c>
      <c r="D640">
        <f t="shared" si="20"/>
        <v>900.3</v>
      </c>
    </row>
    <row r="641" spans="1:4">
      <c r="A641">
        <v>639</v>
      </c>
      <c r="B641" s="23">
        <f t="shared" si="21"/>
        <v>25.3</v>
      </c>
      <c r="C641" s="23">
        <f t="shared" si="19"/>
        <v>7.65</v>
      </c>
      <c r="D641">
        <f t="shared" si="20"/>
        <v>903.15</v>
      </c>
    </row>
    <row r="642" spans="1:4">
      <c r="A642">
        <v>640</v>
      </c>
      <c r="B642" s="23">
        <f t="shared" si="21"/>
        <v>25.333333333333332</v>
      </c>
      <c r="C642" s="23">
        <f t="shared" si="19"/>
        <v>7.666666666666667</v>
      </c>
      <c r="D642">
        <f t="shared" si="20"/>
        <v>906</v>
      </c>
    </row>
    <row r="643" spans="1:4">
      <c r="A643">
        <v>641</v>
      </c>
      <c r="B643" s="23">
        <f t="shared" si="21"/>
        <v>25.366666666666667</v>
      </c>
      <c r="C643" s="23">
        <f t="shared" si="19"/>
        <v>7.6833333333333336</v>
      </c>
      <c r="D643">
        <f t="shared" si="20"/>
        <v>908.85</v>
      </c>
    </row>
    <row r="644" spans="1:4">
      <c r="A644">
        <v>642</v>
      </c>
      <c r="B644" s="23">
        <f t="shared" si="21"/>
        <v>25.4</v>
      </c>
      <c r="C644" s="23">
        <f t="shared" si="19"/>
        <v>7.7</v>
      </c>
      <c r="D644">
        <f t="shared" si="20"/>
        <v>911.7</v>
      </c>
    </row>
    <row r="645" spans="1:4">
      <c r="A645">
        <v>643</v>
      </c>
      <c r="B645" s="23">
        <f t="shared" si="21"/>
        <v>25.433333333333334</v>
      </c>
      <c r="C645" s="23">
        <f t="shared" si="19"/>
        <v>7.7166666666666668</v>
      </c>
      <c r="D645">
        <f t="shared" si="20"/>
        <v>914.55</v>
      </c>
    </row>
    <row r="646" spans="1:4">
      <c r="A646">
        <v>644</v>
      </c>
      <c r="B646" s="23">
        <f t="shared" si="21"/>
        <v>25.466666666666669</v>
      </c>
      <c r="C646" s="23">
        <f t="shared" si="19"/>
        <v>7.7333333333333334</v>
      </c>
      <c r="D646">
        <f t="shared" si="20"/>
        <v>917.4</v>
      </c>
    </row>
    <row r="647" spans="1:4">
      <c r="A647">
        <v>645</v>
      </c>
      <c r="B647" s="23">
        <f t="shared" si="21"/>
        <v>25.5</v>
      </c>
      <c r="C647" s="23">
        <f t="shared" si="19"/>
        <v>7.75</v>
      </c>
      <c r="D647">
        <f t="shared" si="20"/>
        <v>920.25</v>
      </c>
    </row>
    <row r="648" spans="1:4">
      <c r="A648">
        <v>646</v>
      </c>
      <c r="B648" s="23">
        <f t="shared" si="21"/>
        <v>25.533333333333331</v>
      </c>
      <c r="C648" s="23">
        <f t="shared" si="19"/>
        <v>7.7666666666666666</v>
      </c>
      <c r="D648">
        <f t="shared" si="20"/>
        <v>923.1</v>
      </c>
    </row>
    <row r="649" spans="1:4">
      <c r="A649">
        <v>647</v>
      </c>
      <c r="B649" s="23">
        <f t="shared" si="21"/>
        <v>25.566666666666666</v>
      </c>
      <c r="C649" s="23">
        <f t="shared" si="19"/>
        <v>7.7833333333333332</v>
      </c>
      <c r="D649">
        <f t="shared" si="20"/>
        <v>925.95</v>
      </c>
    </row>
    <row r="650" spans="1:4">
      <c r="A650">
        <v>648</v>
      </c>
      <c r="B650" s="23">
        <f t="shared" si="21"/>
        <v>25.6</v>
      </c>
      <c r="C650" s="23">
        <f t="shared" si="19"/>
        <v>7.8</v>
      </c>
      <c r="D650">
        <f t="shared" si="20"/>
        <v>928.8</v>
      </c>
    </row>
    <row r="651" spans="1:4">
      <c r="A651">
        <v>649</v>
      </c>
      <c r="B651" s="23">
        <f t="shared" si="21"/>
        <v>25.633333333333333</v>
      </c>
      <c r="C651" s="23">
        <f t="shared" si="19"/>
        <v>7.8166666666666664</v>
      </c>
      <c r="D651">
        <f t="shared" si="20"/>
        <v>931.65</v>
      </c>
    </row>
    <row r="652" spans="1:4">
      <c r="A652">
        <v>650</v>
      </c>
      <c r="B652" s="23">
        <f t="shared" si="21"/>
        <v>25.666666666666668</v>
      </c>
      <c r="C652" s="23">
        <f t="shared" si="19"/>
        <v>7.833333333333333</v>
      </c>
      <c r="D652">
        <f t="shared" si="20"/>
        <v>934.5</v>
      </c>
    </row>
    <row r="653" spans="1:4">
      <c r="A653">
        <v>651</v>
      </c>
      <c r="B653" s="23">
        <f t="shared" si="21"/>
        <v>25.7</v>
      </c>
      <c r="C653" s="23">
        <f t="shared" si="19"/>
        <v>7.85</v>
      </c>
      <c r="D653">
        <f t="shared" si="20"/>
        <v>937.35</v>
      </c>
    </row>
    <row r="654" spans="1:4">
      <c r="A654">
        <v>652</v>
      </c>
      <c r="B654" s="23">
        <f t="shared" si="21"/>
        <v>25.733333333333334</v>
      </c>
      <c r="C654" s="23">
        <f t="shared" si="19"/>
        <v>7.8666666666666671</v>
      </c>
      <c r="D654">
        <f t="shared" si="20"/>
        <v>940.2</v>
      </c>
    </row>
    <row r="655" spans="1:4">
      <c r="A655">
        <v>653</v>
      </c>
      <c r="B655" s="23">
        <f t="shared" si="21"/>
        <v>25.766666666666666</v>
      </c>
      <c r="C655" s="23">
        <f t="shared" si="19"/>
        <v>7.8833333333333329</v>
      </c>
      <c r="D655">
        <f t="shared" si="20"/>
        <v>943.05</v>
      </c>
    </row>
    <row r="656" spans="1:4">
      <c r="A656">
        <v>654</v>
      </c>
      <c r="B656" s="23">
        <f t="shared" si="21"/>
        <v>25.8</v>
      </c>
      <c r="C656" s="23">
        <f t="shared" si="19"/>
        <v>7.9</v>
      </c>
      <c r="D656">
        <f t="shared" si="20"/>
        <v>945.9</v>
      </c>
    </row>
    <row r="657" spans="1:4">
      <c r="A657">
        <v>655</v>
      </c>
      <c r="B657" s="23">
        <f t="shared" si="21"/>
        <v>25.833333333333332</v>
      </c>
      <c r="C657" s="23">
        <f t="shared" si="19"/>
        <v>7.916666666666667</v>
      </c>
      <c r="D657">
        <f t="shared" si="20"/>
        <v>948.75</v>
      </c>
    </row>
    <row r="658" spans="1:4">
      <c r="A658">
        <v>656</v>
      </c>
      <c r="B658" s="23">
        <f t="shared" si="21"/>
        <v>25.866666666666667</v>
      </c>
      <c r="C658" s="23">
        <f t="shared" si="19"/>
        <v>7.9333333333333336</v>
      </c>
      <c r="D658">
        <f t="shared" si="20"/>
        <v>951.6</v>
      </c>
    </row>
    <row r="659" spans="1:4">
      <c r="A659">
        <v>657</v>
      </c>
      <c r="B659" s="23">
        <f t="shared" si="21"/>
        <v>25.9</v>
      </c>
      <c r="C659" s="23">
        <f t="shared" si="19"/>
        <v>7.95</v>
      </c>
      <c r="D659">
        <f t="shared" si="20"/>
        <v>954.45</v>
      </c>
    </row>
    <row r="660" spans="1:4">
      <c r="A660">
        <v>658</v>
      </c>
      <c r="B660" s="23">
        <f t="shared" si="21"/>
        <v>25.933333333333334</v>
      </c>
      <c r="C660" s="23">
        <f t="shared" si="19"/>
        <v>7.9666666666666668</v>
      </c>
      <c r="D660">
        <f t="shared" si="20"/>
        <v>957.3</v>
      </c>
    </row>
    <row r="661" spans="1:4">
      <c r="A661">
        <v>659</v>
      </c>
      <c r="B661" s="23">
        <f t="shared" si="21"/>
        <v>25.966666666666669</v>
      </c>
      <c r="C661" s="23">
        <f t="shared" si="19"/>
        <v>7.9833333333333334</v>
      </c>
      <c r="D661">
        <f t="shared" si="20"/>
        <v>960.15</v>
      </c>
    </row>
    <row r="662" spans="1:4">
      <c r="A662">
        <v>660</v>
      </c>
      <c r="B662" s="23">
        <v>26</v>
      </c>
      <c r="C662" s="23">
        <f t="shared" si="19"/>
        <v>8</v>
      </c>
      <c r="D662" s="5">
        <v>963</v>
      </c>
    </row>
    <row r="663" spans="1:4">
      <c r="A663">
        <v>661</v>
      </c>
      <c r="B663" s="23">
        <f t="shared" si="21"/>
        <v>26.033333333333331</v>
      </c>
      <c r="C663" s="23">
        <f t="shared" si="19"/>
        <v>8.0166666666666657</v>
      </c>
      <c r="D663">
        <f>$D$662-(A663-$A$662)*($D$662-$D$722)/60</f>
        <v>964.7</v>
      </c>
    </row>
    <row r="664" spans="1:4">
      <c r="A664">
        <v>662</v>
      </c>
      <c r="B664" s="23">
        <f t="shared" si="21"/>
        <v>26.066666666666666</v>
      </c>
      <c r="C664" s="23">
        <f t="shared" si="19"/>
        <v>8.0333333333333332</v>
      </c>
      <c r="D664">
        <f t="shared" ref="D664:D721" si="22">$D$662-(A664-$A$662)*($D$662-$D$722)/60</f>
        <v>966.4</v>
      </c>
    </row>
    <row r="665" spans="1:4">
      <c r="A665">
        <v>663</v>
      </c>
      <c r="B665" s="23">
        <f t="shared" si="21"/>
        <v>26.1</v>
      </c>
      <c r="C665" s="23">
        <f t="shared" si="19"/>
        <v>8.0500000000000007</v>
      </c>
      <c r="D665">
        <f t="shared" si="22"/>
        <v>968.1</v>
      </c>
    </row>
    <row r="666" spans="1:4">
      <c r="A666">
        <v>664</v>
      </c>
      <c r="B666" s="23">
        <f t="shared" si="21"/>
        <v>26.133333333333333</v>
      </c>
      <c r="C666" s="23">
        <f t="shared" si="19"/>
        <v>8.0666666666666664</v>
      </c>
      <c r="D666">
        <f t="shared" si="22"/>
        <v>969.8</v>
      </c>
    </row>
    <row r="667" spans="1:4">
      <c r="A667">
        <v>665</v>
      </c>
      <c r="B667" s="23">
        <f t="shared" si="21"/>
        <v>26.166666666666668</v>
      </c>
      <c r="C667" s="23">
        <f t="shared" si="19"/>
        <v>8.0833333333333339</v>
      </c>
      <c r="D667">
        <f t="shared" si="22"/>
        <v>971.5</v>
      </c>
    </row>
    <row r="668" spans="1:4">
      <c r="A668">
        <v>666</v>
      </c>
      <c r="B668" s="23">
        <f t="shared" si="21"/>
        <v>26.2</v>
      </c>
      <c r="C668" s="23">
        <f t="shared" ref="C668:C723" si="23">(A668-$A$602)/60+7</f>
        <v>8.1</v>
      </c>
      <c r="D668">
        <f t="shared" si="22"/>
        <v>973.2</v>
      </c>
    </row>
    <row r="669" spans="1:4">
      <c r="A669">
        <v>667</v>
      </c>
      <c r="B669" s="23">
        <f t="shared" si="21"/>
        <v>26.233333333333334</v>
      </c>
      <c r="C669" s="23">
        <f t="shared" si="23"/>
        <v>8.1166666666666671</v>
      </c>
      <c r="D669">
        <f t="shared" si="22"/>
        <v>974.9</v>
      </c>
    </row>
    <row r="670" spans="1:4">
      <c r="A670">
        <v>668</v>
      </c>
      <c r="B670" s="23">
        <f t="shared" si="21"/>
        <v>26.266666666666666</v>
      </c>
      <c r="C670" s="23">
        <f t="shared" si="23"/>
        <v>8.1333333333333329</v>
      </c>
      <c r="D670">
        <f t="shared" si="22"/>
        <v>976.6</v>
      </c>
    </row>
    <row r="671" spans="1:4">
      <c r="A671">
        <v>669</v>
      </c>
      <c r="B671" s="23">
        <f t="shared" si="21"/>
        <v>26.3</v>
      </c>
      <c r="C671" s="23">
        <f t="shared" si="23"/>
        <v>8.15</v>
      </c>
      <c r="D671">
        <f t="shared" si="22"/>
        <v>978.3</v>
      </c>
    </row>
    <row r="672" spans="1:4">
      <c r="A672">
        <v>670</v>
      </c>
      <c r="B672" s="23">
        <f t="shared" si="21"/>
        <v>26.333333333333332</v>
      </c>
      <c r="C672" s="23">
        <f t="shared" si="23"/>
        <v>8.1666666666666661</v>
      </c>
      <c r="D672">
        <f t="shared" si="22"/>
        <v>980</v>
      </c>
    </row>
    <row r="673" spans="1:4">
      <c r="A673">
        <v>671</v>
      </c>
      <c r="B673" s="23">
        <f t="shared" si="21"/>
        <v>26.366666666666667</v>
      </c>
      <c r="C673" s="23">
        <f t="shared" si="23"/>
        <v>8.1833333333333336</v>
      </c>
      <c r="D673">
        <f t="shared" si="22"/>
        <v>981.7</v>
      </c>
    </row>
    <row r="674" spans="1:4">
      <c r="A674">
        <v>672</v>
      </c>
      <c r="B674" s="23">
        <f t="shared" si="21"/>
        <v>26.4</v>
      </c>
      <c r="C674" s="23">
        <f t="shared" si="23"/>
        <v>8.1999999999999993</v>
      </c>
      <c r="D674">
        <f t="shared" si="22"/>
        <v>983.4</v>
      </c>
    </row>
    <row r="675" spans="1:4">
      <c r="A675">
        <v>673</v>
      </c>
      <c r="B675" s="23">
        <f t="shared" si="21"/>
        <v>26.433333333333334</v>
      </c>
      <c r="C675" s="23">
        <f t="shared" si="23"/>
        <v>8.2166666666666668</v>
      </c>
      <c r="D675">
        <f t="shared" si="22"/>
        <v>985.1</v>
      </c>
    </row>
    <row r="676" spans="1:4">
      <c r="A676">
        <v>674</v>
      </c>
      <c r="B676" s="23">
        <f t="shared" ref="B676:B721" si="24">(A676-$A$482)*2/60+20</f>
        <v>26.466666666666669</v>
      </c>
      <c r="C676" s="23">
        <f t="shared" si="23"/>
        <v>8.2333333333333343</v>
      </c>
      <c r="D676">
        <f t="shared" si="22"/>
        <v>986.8</v>
      </c>
    </row>
    <row r="677" spans="1:4">
      <c r="A677">
        <v>675</v>
      </c>
      <c r="B677" s="23">
        <f t="shared" si="24"/>
        <v>26.5</v>
      </c>
      <c r="C677" s="23">
        <f t="shared" si="23"/>
        <v>8.25</v>
      </c>
      <c r="D677">
        <f t="shared" si="22"/>
        <v>988.5</v>
      </c>
    </row>
    <row r="678" spans="1:4">
      <c r="A678">
        <v>676</v>
      </c>
      <c r="B678" s="23">
        <f t="shared" si="24"/>
        <v>26.533333333333331</v>
      </c>
      <c r="C678" s="23">
        <f t="shared" si="23"/>
        <v>8.2666666666666657</v>
      </c>
      <c r="D678">
        <f t="shared" si="22"/>
        <v>990.2</v>
      </c>
    </row>
    <row r="679" spans="1:4">
      <c r="A679">
        <v>677</v>
      </c>
      <c r="B679" s="23">
        <f t="shared" si="24"/>
        <v>26.566666666666666</v>
      </c>
      <c r="C679" s="23">
        <f t="shared" si="23"/>
        <v>8.2833333333333332</v>
      </c>
      <c r="D679">
        <f t="shared" si="22"/>
        <v>991.9</v>
      </c>
    </row>
    <row r="680" spans="1:4">
      <c r="A680">
        <v>678</v>
      </c>
      <c r="B680" s="23">
        <f t="shared" si="24"/>
        <v>26.6</v>
      </c>
      <c r="C680" s="23">
        <f t="shared" si="23"/>
        <v>8.3000000000000007</v>
      </c>
      <c r="D680">
        <f t="shared" si="22"/>
        <v>993.6</v>
      </c>
    </row>
    <row r="681" spans="1:4">
      <c r="A681">
        <v>679</v>
      </c>
      <c r="B681" s="23">
        <f t="shared" si="24"/>
        <v>26.633333333333333</v>
      </c>
      <c r="C681" s="23">
        <f t="shared" si="23"/>
        <v>8.3166666666666664</v>
      </c>
      <c r="D681">
        <f t="shared" si="22"/>
        <v>995.3</v>
      </c>
    </row>
    <row r="682" spans="1:4">
      <c r="A682">
        <v>680</v>
      </c>
      <c r="B682" s="23">
        <f t="shared" si="24"/>
        <v>26.666666666666668</v>
      </c>
      <c r="C682" s="23">
        <f t="shared" si="23"/>
        <v>8.3333333333333339</v>
      </c>
      <c r="D682">
        <f t="shared" si="22"/>
        <v>997</v>
      </c>
    </row>
    <row r="683" spans="1:4">
      <c r="A683">
        <v>681</v>
      </c>
      <c r="B683" s="23">
        <f t="shared" si="24"/>
        <v>26.7</v>
      </c>
      <c r="C683" s="23">
        <f t="shared" si="23"/>
        <v>8.35</v>
      </c>
      <c r="D683">
        <f t="shared" si="22"/>
        <v>998.7</v>
      </c>
    </row>
    <row r="684" spans="1:4">
      <c r="A684">
        <v>682</v>
      </c>
      <c r="B684" s="23">
        <f t="shared" si="24"/>
        <v>26.733333333333334</v>
      </c>
      <c r="C684" s="23">
        <f t="shared" si="23"/>
        <v>8.3666666666666671</v>
      </c>
      <c r="D684">
        <f t="shared" si="22"/>
        <v>1000.4</v>
      </c>
    </row>
    <row r="685" spans="1:4">
      <c r="A685">
        <v>683</v>
      </c>
      <c r="B685" s="23">
        <f t="shared" si="24"/>
        <v>26.766666666666666</v>
      </c>
      <c r="C685" s="23">
        <f t="shared" si="23"/>
        <v>8.3833333333333329</v>
      </c>
      <c r="D685">
        <f t="shared" si="22"/>
        <v>1002.1</v>
      </c>
    </row>
    <row r="686" spans="1:4">
      <c r="A686">
        <v>684</v>
      </c>
      <c r="B686" s="23">
        <f t="shared" si="24"/>
        <v>26.8</v>
      </c>
      <c r="C686" s="23">
        <f t="shared" si="23"/>
        <v>8.4</v>
      </c>
      <c r="D686">
        <f t="shared" si="22"/>
        <v>1003.8</v>
      </c>
    </row>
    <row r="687" spans="1:4">
      <c r="A687">
        <v>685</v>
      </c>
      <c r="B687" s="23">
        <f t="shared" si="24"/>
        <v>26.833333333333332</v>
      </c>
      <c r="C687" s="23">
        <f t="shared" si="23"/>
        <v>8.4166666666666661</v>
      </c>
      <c r="D687">
        <f t="shared" si="22"/>
        <v>1005.5</v>
      </c>
    </row>
    <row r="688" spans="1:4">
      <c r="A688">
        <v>686</v>
      </c>
      <c r="B688" s="23">
        <f t="shared" si="24"/>
        <v>26.866666666666667</v>
      </c>
      <c r="C688" s="23">
        <f t="shared" si="23"/>
        <v>8.4333333333333336</v>
      </c>
      <c r="D688">
        <f t="shared" si="22"/>
        <v>1007.2</v>
      </c>
    </row>
    <row r="689" spans="1:4">
      <c r="A689">
        <v>687</v>
      </c>
      <c r="B689" s="23">
        <f t="shared" si="24"/>
        <v>26.9</v>
      </c>
      <c r="C689" s="23">
        <f t="shared" si="23"/>
        <v>8.4499999999999993</v>
      </c>
      <c r="D689">
        <f t="shared" si="22"/>
        <v>1008.9</v>
      </c>
    </row>
    <row r="690" spans="1:4">
      <c r="A690">
        <v>688</v>
      </c>
      <c r="B690" s="23">
        <f t="shared" si="24"/>
        <v>26.933333333333334</v>
      </c>
      <c r="C690" s="23">
        <f t="shared" si="23"/>
        <v>8.4666666666666668</v>
      </c>
      <c r="D690">
        <f t="shared" si="22"/>
        <v>1010.6</v>
      </c>
    </row>
    <row r="691" spans="1:4">
      <c r="A691">
        <v>689</v>
      </c>
      <c r="B691" s="23">
        <f t="shared" si="24"/>
        <v>26.966666666666669</v>
      </c>
      <c r="C691" s="23">
        <f t="shared" si="23"/>
        <v>8.4833333333333343</v>
      </c>
      <c r="D691">
        <f t="shared" si="22"/>
        <v>1012.3</v>
      </c>
    </row>
    <row r="692" spans="1:4">
      <c r="A692">
        <v>690</v>
      </c>
      <c r="B692" s="23">
        <f t="shared" si="24"/>
        <v>27</v>
      </c>
      <c r="C692" s="23">
        <f t="shared" si="23"/>
        <v>8.5</v>
      </c>
      <c r="D692">
        <f t="shared" si="22"/>
        <v>1014</v>
      </c>
    </row>
    <row r="693" spans="1:4">
      <c r="A693">
        <v>691</v>
      </c>
      <c r="B693" s="23">
        <f t="shared" si="24"/>
        <v>27.033333333333331</v>
      </c>
      <c r="C693" s="23">
        <f t="shared" si="23"/>
        <v>8.5166666666666657</v>
      </c>
      <c r="D693">
        <f t="shared" si="22"/>
        <v>1015.7</v>
      </c>
    </row>
    <row r="694" spans="1:4">
      <c r="A694">
        <v>692</v>
      </c>
      <c r="B694" s="23">
        <f t="shared" si="24"/>
        <v>27.066666666666666</v>
      </c>
      <c r="C694" s="23">
        <f t="shared" si="23"/>
        <v>8.5333333333333332</v>
      </c>
      <c r="D694">
        <f t="shared" si="22"/>
        <v>1017.4</v>
      </c>
    </row>
    <row r="695" spans="1:4">
      <c r="A695">
        <v>693</v>
      </c>
      <c r="B695" s="23">
        <f t="shared" si="24"/>
        <v>27.1</v>
      </c>
      <c r="C695" s="23">
        <f t="shared" si="23"/>
        <v>8.5500000000000007</v>
      </c>
      <c r="D695">
        <f t="shared" si="22"/>
        <v>1019.1</v>
      </c>
    </row>
    <row r="696" spans="1:4">
      <c r="A696">
        <v>694</v>
      </c>
      <c r="B696" s="23">
        <f t="shared" si="24"/>
        <v>27.133333333333333</v>
      </c>
      <c r="C696" s="23">
        <f t="shared" si="23"/>
        <v>8.5666666666666664</v>
      </c>
      <c r="D696">
        <f t="shared" si="22"/>
        <v>1020.8</v>
      </c>
    </row>
    <row r="697" spans="1:4">
      <c r="A697">
        <v>695</v>
      </c>
      <c r="B697" s="23">
        <f t="shared" si="24"/>
        <v>27.166666666666668</v>
      </c>
      <c r="C697" s="23">
        <f t="shared" si="23"/>
        <v>8.5833333333333339</v>
      </c>
      <c r="D697">
        <f t="shared" si="22"/>
        <v>1022.5</v>
      </c>
    </row>
    <row r="698" spans="1:4">
      <c r="A698">
        <v>696</v>
      </c>
      <c r="B698" s="23">
        <f t="shared" si="24"/>
        <v>27.2</v>
      </c>
      <c r="C698" s="23">
        <f t="shared" si="23"/>
        <v>8.6</v>
      </c>
      <c r="D698">
        <f t="shared" si="22"/>
        <v>1024.2</v>
      </c>
    </row>
    <row r="699" spans="1:4">
      <c r="A699">
        <v>697</v>
      </c>
      <c r="B699" s="23">
        <f t="shared" si="24"/>
        <v>27.233333333333334</v>
      </c>
      <c r="C699" s="23">
        <f t="shared" si="23"/>
        <v>8.6166666666666671</v>
      </c>
      <c r="D699">
        <f t="shared" si="22"/>
        <v>1025.9000000000001</v>
      </c>
    </row>
    <row r="700" spans="1:4">
      <c r="A700">
        <v>698</v>
      </c>
      <c r="B700" s="23">
        <f t="shared" si="24"/>
        <v>27.266666666666666</v>
      </c>
      <c r="C700" s="23">
        <f t="shared" si="23"/>
        <v>8.6333333333333329</v>
      </c>
      <c r="D700">
        <f t="shared" si="22"/>
        <v>1027.5999999999999</v>
      </c>
    </row>
    <row r="701" spans="1:4">
      <c r="A701">
        <v>699</v>
      </c>
      <c r="B701" s="23">
        <f t="shared" si="24"/>
        <v>27.3</v>
      </c>
      <c r="C701" s="23">
        <f t="shared" si="23"/>
        <v>8.65</v>
      </c>
      <c r="D701">
        <f t="shared" si="22"/>
        <v>1029.3</v>
      </c>
    </row>
    <row r="702" spans="1:4">
      <c r="A702">
        <v>700</v>
      </c>
      <c r="B702" s="23">
        <f t="shared" si="24"/>
        <v>27.333333333333332</v>
      </c>
      <c r="C702" s="23">
        <f t="shared" si="23"/>
        <v>8.6666666666666661</v>
      </c>
      <c r="D702">
        <f t="shared" si="22"/>
        <v>1031</v>
      </c>
    </row>
    <row r="703" spans="1:4">
      <c r="A703">
        <v>701</v>
      </c>
      <c r="B703" s="23">
        <f t="shared" si="24"/>
        <v>27.366666666666667</v>
      </c>
      <c r="C703" s="23">
        <f t="shared" si="23"/>
        <v>8.6833333333333336</v>
      </c>
      <c r="D703">
        <f t="shared" si="22"/>
        <v>1032.7</v>
      </c>
    </row>
    <row r="704" spans="1:4">
      <c r="A704">
        <v>702</v>
      </c>
      <c r="B704" s="23">
        <f t="shared" si="24"/>
        <v>27.4</v>
      </c>
      <c r="C704" s="23">
        <f t="shared" si="23"/>
        <v>8.6999999999999993</v>
      </c>
      <c r="D704">
        <f t="shared" si="22"/>
        <v>1034.4000000000001</v>
      </c>
    </row>
    <row r="705" spans="1:4">
      <c r="A705">
        <v>703</v>
      </c>
      <c r="B705" s="23">
        <f t="shared" si="24"/>
        <v>27.433333333333334</v>
      </c>
      <c r="C705" s="23">
        <f t="shared" si="23"/>
        <v>8.7166666666666668</v>
      </c>
      <c r="D705">
        <f t="shared" si="22"/>
        <v>1036.0999999999999</v>
      </c>
    </row>
    <row r="706" spans="1:4">
      <c r="A706">
        <v>704</v>
      </c>
      <c r="B706" s="23">
        <f t="shared" si="24"/>
        <v>27.466666666666669</v>
      </c>
      <c r="C706" s="23">
        <f t="shared" si="23"/>
        <v>8.7333333333333343</v>
      </c>
      <c r="D706">
        <f t="shared" si="22"/>
        <v>1037.8</v>
      </c>
    </row>
    <row r="707" spans="1:4">
      <c r="A707">
        <v>705</v>
      </c>
      <c r="B707" s="23">
        <f t="shared" si="24"/>
        <v>27.5</v>
      </c>
      <c r="C707" s="23">
        <f t="shared" si="23"/>
        <v>8.75</v>
      </c>
      <c r="D707">
        <f t="shared" si="22"/>
        <v>1039.5</v>
      </c>
    </row>
    <row r="708" spans="1:4">
      <c r="A708">
        <v>706</v>
      </c>
      <c r="B708" s="23">
        <f t="shared" si="24"/>
        <v>27.533333333333331</v>
      </c>
      <c r="C708" s="23">
        <f t="shared" si="23"/>
        <v>8.7666666666666657</v>
      </c>
      <c r="D708">
        <f t="shared" si="22"/>
        <v>1041.2</v>
      </c>
    </row>
    <row r="709" spans="1:4">
      <c r="A709">
        <v>707</v>
      </c>
      <c r="B709" s="23">
        <f t="shared" si="24"/>
        <v>27.566666666666666</v>
      </c>
      <c r="C709" s="23">
        <f t="shared" si="23"/>
        <v>8.7833333333333332</v>
      </c>
      <c r="D709">
        <f t="shared" si="22"/>
        <v>1042.9000000000001</v>
      </c>
    </row>
    <row r="710" spans="1:4">
      <c r="A710">
        <v>708</v>
      </c>
      <c r="B710" s="23">
        <f t="shared" si="24"/>
        <v>27.6</v>
      </c>
      <c r="C710" s="23">
        <f t="shared" si="23"/>
        <v>8.8000000000000007</v>
      </c>
      <c r="D710">
        <f t="shared" si="22"/>
        <v>1044.5999999999999</v>
      </c>
    </row>
    <row r="711" spans="1:4">
      <c r="A711">
        <v>709</v>
      </c>
      <c r="B711" s="23">
        <f t="shared" si="24"/>
        <v>27.633333333333333</v>
      </c>
      <c r="C711" s="23">
        <f t="shared" si="23"/>
        <v>8.8166666666666664</v>
      </c>
      <c r="D711">
        <f t="shared" si="22"/>
        <v>1046.3</v>
      </c>
    </row>
    <row r="712" spans="1:4">
      <c r="A712">
        <v>710</v>
      </c>
      <c r="B712" s="23">
        <f t="shared" si="24"/>
        <v>27.666666666666668</v>
      </c>
      <c r="C712" s="23">
        <f t="shared" si="23"/>
        <v>8.8333333333333339</v>
      </c>
      <c r="D712">
        <f t="shared" si="22"/>
        <v>1048</v>
      </c>
    </row>
    <row r="713" spans="1:4">
      <c r="A713">
        <v>711</v>
      </c>
      <c r="B713" s="23">
        <f t="shared" si="24"/>
        <v>27.7</v>
      </c>
      <c r="C713" s="23">
        <f t="shared" si="23"/>
        <v>8.85</v>
      </c>
      <c r="D713">
        <f t="shared" si="22"/>
        <v>1049.7</v>
      </c>
    </row>
    <row r="714" spans="1:4">
      <c r="A714">
        <v>712</v>
      </c>
      <c r="B714" s="23">
        <f t="shared" si="24"/>
        <v>27.733333333333334</v>
      </c>
      <c r="C714" s="23">
        <f t="shared" si="23"/>
        <v>8.8666666666666671</v>
      </c>
      <c r="D714">
        <f t="shared" si="22"/>
        <v>1051.4000000000001</v>
      </c>
    </row>
    <row r="715" spans="1:4">
      <c r="A715">
        <v>713</v>
      </c>
      <c r="B715" s="23">
        <f t="shared" si="24"/>
        <v>27.766666666666666</v>
      </c>
      <c r="C715" s="23">
        <f t="shared" si="23"/>
        <v>8.8833333333333329</v>
      </c>
      <c r="D715">
        <f t="shared" si="22"/>
        <v>1053.0999999999999</v>
      </c>
    </row>
    <row r="716" spans="1:4">
      <c r="A716">
        <v>714</v>
      </c>
      <c r="B716" s="23">
        <f t="shared" si="24"/>
        <v>27.8</v>
      </c>
      <c r="C716" s="23">
        <f t="shared" si="23"/>
        <v>8.9</v>
      </c>
      <c r="D716">
        <f t="shared" si="22"/>
        <v>1054.8</v>
      </c>
    </row>
    <row r="717" spans="1:4">
      <c r="A717">
        <v>715</v>
      </c>
      <c r="B717" s="23">
        <f t="shared" si="24"/>
        <v>27.833333333333332</v>
      </c>
      <c r="C717" s="23">
        <f t="shared" si="23"/>
        <v>8.9166666666666661</v>
      </c>
      <c r="D717">
        <f t="shared" si="22"/>
        <v>1056.5</v>
      </c>
    </row>
    <row r="718" spans="1:4">
      <c r="A718">
        <v>716</v>
      </c>
      <c r="B718" s="23">
        <f t="shared" si="24"/>
        <v>27.866666666666667</v>
      </c>
      <c r="C718" s="23">
        <f t="shared" si="23"/>
        <v>8.9333333333333336</v>
      </c>
      <c r="D718">
        <f t="shared" si="22"/>
        <v>1058.2</v>
      </c>
    </row>
    <row r="719" spans="1:4">
      <c r="A719">
        <v>717</v>
      </c>
      <c r="B719" s="23">
        <f t="shared" si="24"/>
        <v>27.9</v>
      </c>
      <c r="C719" s="23">
        <f t="shared" si="23"/>
        <v>8.9499999999999993</v>
      </c>
      <c r="D719">
        <f t="shared" si="22"/>
        <v>1059.9000000000001</v>
      </c>
    </row>
    <row r="720" spans="1:4">
      <c r="A720">
        <v>718</v>
      </c>
      <c r="B720" s="23">
        <f t="shared" si="24"/>
        <v>27.933333333333334</v>
      </c>
      <c r="C720" s="23">
        <f t="shared" si="23"/>
        <v>8.9666666666666668</v>
      </c>
      <c r="D720">
        <f t="shared" si="22"/>
        <v>1061.5999999999999</v>
      </c>
    </row>
    <row r="721" spans="1:4">
      <c r="A721">
        <v>719</v>
      </c>
      <c r="B721" s="23">
        <f t="shared" si="24"/>
        <v>27.966666666666669</v>
      </c>
      <c r="C721" s="23">
        <f t="shared" si="23"/>
        <v>8.9833333333333343</v>
      </c>
      <c r="D721">
        <f t="shared" si="22"/>
        <v>1063.3</v>
      </c>
    </row>
    <row r="722" spans="1:4">
      <c r="A722">
        <v>720</v>
      </c>
      <c r="B722" s="4">
        <v>28</v>
      </c>
      <c r="C722" s="23">
        <f t="shared" si="23"/>
        <v>9</v>
      </c>
      <c r="D722" s="5">
        <v>1065</v>
      </c>
    </row>
    <row r="723" spans="1:4">
      <c r="A723">
        <v>721</v>
      </c>
      <c r="B723" s="4">
        <v>28</v>
      </c>
      <c r="C723" s="23">
        <f>(A723-$A$722)*2/60+9</f>
        <v>9.0333333333333332</v>
      </c>
      <c r="D723" s="23">
        <f>$D$722-(A723-$A$722)*($D$722-$D$782)/60</f>
        <v>1065.2666666666667</v>
      </c>
    </row>
    <row r="724" spans="1:4">
      <c r="A724">
        <v>722</v>
      </c>
      <c r="B724" s="4">
        <v>28</v>
      </c>
      <c r="C724" s="23">
        <f t="shared" ref="C724:C787" si="25">(A724-$A$722)*2/60+9</f>
        <v>9.0666666666666664</v>
      </c>
      <c r="D724" s="23">
        <f t="shared" ref="D724:D781" si="26">$D$722-(A724-$A$722)*($D$722-$D$782)/60</f>
        <v>1065.5333333333333</v>
      </c>
    </row>
    <row r="725" spans="1:4">
      <c r="A725">
        <v>723</v>
      </c>
      <c r="B725" s="4">
        <v>28</v>
      </c>
      <c r="C725" s="23">
        <f t="shared" si="25"/>
        <v>9.1</v>
      </c>
      <c r="D725" s="23">
        <f t="shared" si="26"/>
        <v>1065.8</v>
      </c>
    </row>
    <row r="726" spans="1:4">
      <c r="A726">
        <v>724</v>
      </c>
      <c r="B726" s="4">
        <v>28</v>
      </c>
      <c r="C726" s="23">
        <f t="shared" si="25"/>
        <v>9.1333333333333329</v>
      </c>
      <c r="D726" s="23">
        <f t="shared" si="26"/>
        <v>1066.0666666666666</v>
      </c>
    </row>
    <row r="727" spans="1:4">
      <c r="A727">
        <v>725</v>
      </c>
      <c r="B727" s="4">
        <v>28</v>
      </c>
      <c r="C727" s="23">
        <f t="shared" si="25"/>
        <v>9.1666666666666661</v>
      </c>
      <c r="D727" s="23">
        <f t="shared" si="26"/>
        <v>1066.3333333333333</v>
      </c>
    </row>
    <row r="728" spans="1:4">
      <c r="A728">
        <v>726</v>
      </c>
      <c r="B728" s="4">
        <v>28</v>
      </c>
      <c r="C728" s="23">
        <f t="shared" si="25"/>
        <v>9.1999999999999993</v>
      </c>
      <c r="D728" s="23">
        <f t="shared" si="26"/>
        <v>1066.5999999999999</v>
      </c>
    </row>
    <row r="729" spans="1:4">
      <c r="A729">
        <v>727</v>
      </c>
      <c r="B729" s="4">
        <v>28</v>
      </c>
      <c r="C729" s="23">
        <f t="shared" si="25"/>
        <v>9.2333333333333325</v>
      </c>
      <c r="D729" s="23">
        <f t="shared" si="26"/>
        <v>1066.8666666666666</v>
      </c>
    </row>
    <row r="730" spans="1:4">
      <c r="A730">
        <v>728</v>
      </c>
      <c r="B730" s="4">
        <v>28</v>
      </c>
      <c r="C730" s="23">
        <f t="shared" si="25"/>
        <v>9.2666666666666675</v>
      </c>
      <c r="D730" s="23">
        <f t="shared" si="26"/>
        <v>1067.1333333333334</v>
      </c>
    </row>
    <row r="731" spans="1:4">
      <c r="A731">
        <v>729</v>
      </c>
      <c r="B731" s="4">
        <v>28</v>
      </c>
      <c r="C731" s="23">
        <f t="shared" si="25"/>
        <v>9.3000000000000007</v>
      </c>
      <c r="D731" s="23">
        <f t="shared" si="26"/>
        <v>1067.4000000000001</v>
      </c>
    </row>
    <row r="732" spans="1:4">
      <c r="A732">
        <v>730</v>
      </c>
      <c r="B732" s="4">
        <v>28</v>
      </c>
      <c r="C732" s="23">
        <f t="shared" si="25"/>
        <v>9.3333333333333339</v>
      </c>
      <c r="D732" s="23">
        <f t="shared" si="26"/>
        <v>1067.6666666666667</v>
      </c>
    </row>
    <row r="733" spans="1:4">
      <c r="A733">
        <v>731</v>
      </c>
      <c r="B733" s="4">
        <v>28</v>
      </c>
      <c r="C733" s="23">
        <f t="shared" si="25"/>
        <v>9.3666666666666671</v>
      </c>
      <c r="D733" s="23">
        <f t="shared" si="26"/>
        <v>1067.9333333333334</v>
      </c>
    </row>
    <row r="734" spans="1:4">
      <c r="A734">
        <v>732</v>
      </c>
      <c r="B734" s="4">
        <v>28</v>
      </c>
      <c r="C734" s="23">
        <f t="shared" si="25"/>
        <v>9.4</v>
      </c>
      <c r="D734" s="23">
        <f t="shared" si="26"/>
        <v>1068.2</v>
      </c>
    </row>
    <row r="735" spans="1:4">
      <c r="A735">
        <v>733</v>
      </c>
      <c r="B735" s="4">
        <v>28</v>
      </c>
      <c r="C735" s="23">
        <f t="shared" si="25"/>
        <v>9.4333333333333336</v>
      </c>
      <c r="D735" s="23">
        <f t="shared" si="26"/>
        <v>1068.4666666666667</v>
      </c>
    </row>
    <row r="736" spans="1:4">
      <c r="A736">
        <v>734</v>
      </c>
      <c r="B736" s="4">
        <v>28</v>
      </c>
      <c r="C736" s="23">
        <f t="shared" si="25"/>
        <v>9.4666666666666668</v>
      </c>
      <c r="D736" s="23">
        <f t="shared" si="26"/>
        <v>1068.7333333333333</v>
      </c>
    </row>
    <row r="737" spans="1:4">
      <c r="A737">
        <v>735</v>
      </c>
      <c r="B737" s="4">
        <v>28</v>
      </c>
      <c r="C737" s="23">
        <f t="shared" si="25"/>
        <v>9.5</v>
      </c>
      <c r="D737" s="23">
        <f t="shared" si="26"/>
        <v>1069</v>
      </c>
    </row>
    <row r="738" spans="1:4">
      <c r="A738">
        <v>736</v>
      </c>
      <c r="B738" s="4">
        <v>28</v>
      </c>
      <c r="C738" s="23">
        <f t="shared" si="25"/>
        <v>9.5333333333333332</v>
      </c>
      <c r="D738" s="23">
        <f t="shared" si="26"/>
        <v>1069.2666666666667</v>
      </c>
    </row>
    <row r="739" spans="1:4">
      <c r="A739">
        <v>737</v>
      </c>
      <c r="B739" s="4">
        <v>28</v>
      </c>
      <c r="C739" s="23">
        <f t="shared" si="25"/>
        <v>9.5666666666666664</v>
      </c>
      <c r="D739" s="23">
        <f t="shared" si="26"/>
        <v>1069.5333333333333</v>
      </c>
    </row>
    <row r="740" spans="1:4">
      <c r="A740">
        <v>738</v>
      </c>
      <c r="B740" s="4">
        <v>28</v>
      </c>
      <c r="C740" s="23">
        <f t="shared" si="25"/>
        <v>9.6</v>
      </c>
      <c r="D740" s="23">
        <f t="shared" si="26"/>
        <v>1069.8</v>
      </c>
    </row>
    <row r="741" spans="1:4">
      <c r="A741">
        <v>739</v>
      </c>
      <c r="B741" s="4">
        <v>28</v>
      </c>
      <c r="C741" s="23">
        <f t="shared" si="25"/>
        <v>9.6333333333333329</v>
      </c>
      <c r="D741" s="23">
        <f t="shared" si="26"/>
        <v>1070.0666666666666</v>
      </c>
    </row>
    <row r="742" spans="1:4">
      <c r="A742">
        <v>740</v>
      </c>
      <c r="B742" s="4">
        <v>28</v>
      </c>
      <c r="C742" s="23">
        <f t="shared" si="25"/>
        <v>9.6666666666666661</v>
      </c>
      <c r="D742" s="23">
        <f t="shared" si="26"/>
        <v>1070.3333333333333</v>
      </c>
    </row>
    <row r="743" spans="1:4">
      <c r="A743">
        <v>741</v>
      </c>
      <c r="B743" s="4">
        <v>28</v>
      </c>
      <c r="C743" s="23">
        <f t="shared" si="25"/>
        <v>9.6999999999999993</v>
      </c>
      <c r="D743" s="23">
        <f t="shared" si="26"/>
        <v>1070.5999999999999</v>
      </c>
    </row>
    <row r="744" spans="1:4">
      <c r="A744">
        <v>742</v>
      </c>
      <c r="B744" s="4">
        <v>28</v>
      </c>
      <c r="C744" s="23">
        <f t="shared" si="25"/>
        <v>9.7333333333333325</v>
      </c>
      <c r="D744" s="23">
        <f t="shared" si="26"/>
        <v>1070.8666666666666</v>
      </c>
    </row>
    <row r="745" spans="1:4">
      <c r="A745">
        <v>743</v>
      </c>
      <c r="B745" s="4">
        <v>28</v>
      </c>
      <c r="C745" s="23">
        <f t="shared" si="25"/>
        <v>9.7666666666666675</v>
      </c>
      <c r="D745" s="23">
        <f t="shared" si="26"/>
        <v>1071.1333333333334</v>
      </c>
    </row>
    <row r="746" spans="1:4">
      <c r="A746">
        <v>744</v>
      </c>
      <c r="B746" s="4">
        <v>28</v>
      </c>
      <c r="C746" s="23">
        <f t="shared" si="25"/>
        <v>9.8000000000000007</v>
      </c>
      <c r="D746" s="23">
        <f t="shared" si="26"/>
        <v>1071.4000000000001</v>
      </c>
    </row>
    <row r="747" spans="1:4">
      <c r="A747">
        <v>745</v>
      </c>
      <c r="B747" s="4">
        <v>28</v>
      </c>
      <c r="C747" s="23">
        <f t="shared" si="25"/>
        <v>9.8333333333333339</v>
      </c>
      <c r="D747" s="23">
        <f t="shared" si="26"/>
        <v>1071.6666666666667</v>
      </c>
    </row>
    <row r="748" spans="1:4">
      <c r="A748">
        <v>746</v>
      </c>
      <c r="B748" s="4">
        <v>28</v>
      </c>
      <c r="C748" s="23">
        <f t="shared" si="25"/>
        <v>9.8666666666666671</v>
      </c>
      <c r="D748" s="23">
        <f t="shared" si="26"/>
        <v>1071.9333333333334</v>
      </c>
    </row>
    <row r="749" spans="1:4">
      <c r="A749">
        <v>747</v>
      </c>
      <c r="B749" s="4">
        <v>28</v>
      </c>
      <c r="C749" s="23">
        <f t="shared" si="25"/>
        <v>9.9</v>
      </c>
      <c r="D749" s="23">
        <f t="shared" si="26"/>
        <v>1072.2</v>
      </c>
    </row>
    <row r="750" spans="1:4">
      <c r="A750">
        <v>748</v>
      </c>
      <c r="B750" s="4">
        <v>28</v>
      </c>
      <c r="C750" s="23">
        <f t="shared" si="25"/>
        <v>9.9333333333333336</v>
      </c>
      <c r="D750" s="23">
        <f t="shared" si="26"/>
        <v>1072.4666666666667</v>
      </c>
    </row>
    <row r="751" spans="1:4">
      <c r="A751">
        <v>749</v>
      </c>
      <c r="B751" s="4">
        <v>28</v>
      </c>
      <c r="C751" s="23">
        <f t="shared" si="25"/>
        <v>9.9666666666666668</v>
      </c>
      <c r="D751" s="23">
        <f t="shared" si="26"/>
        <v>1072.7333333333333</v>
      </c>
    </row>
    <row r="752" spans="1:4">
      <c r="A752">
        <v>750</v>
      </c>
      <c r="B752" s="4">
        <v>28</v>
      </c>
      <c r="C752" s="23">
        <f t="shared" si="25"/>
        <v>10</v>
      </c>
      <c r="D752" s="23">
        <f t="shared" si="26"/>
        <v>1073</v>
      </c>
    </row>
    <row r="753" spans="1:4">
      <c r="A753">
        <v>751</v>
      </c>
      <c r="B753" s="4">
        <v>28</v>
      </c>
      <c r="C753" s="23">
        <f t="shared" si="25"/>
        <v>10.033333333333333</v>
      </c>
      <c r="D753" s="23">
        <f t="shared" si="26"/>
        <v>1073.2666666666667</v>
      </c>
    </row>
    <row r="754" spans="1:4">
      <c r="A754">
        <v>752</v>
      </c>
      <c r="B754" s="4">
        <v>28</v>
      </c>
      <c r="C754" s="23">
        <f t="shared" si="25"/>
        <v>10.066666666666666</v>
      </c>
      <c r="D754" s="23">
        <f t="shared" si="26"/>
        <v>1073.5333333333333</v>
      </c>
    </row>
    <row r="755" spans="1:4">
      <c r="A755">
        <v>753</v>
      </c>
      <c r="B755" s="4">
        <v>28</v>
      </c>
      <c r="C755" s="23">
        <f t="shared" si="25"/>
        <v>10.1</v>
      </c>
      <c r="D755" s="23">
        <f t="shared" si="26"/>
        <v>1073.8</v>
      </c>
    </row>
    <row r="756" spans="1:4">
      <c r="A756">
        <v>754</v>
      </c>
      <c r="B756" s="4">
        <v>28</v>
      </c>
      <c r="C756" s="23">
        <f t="shared" si="25"/>
        <v>10.133333333333333</v>
      </c>
      <c r="D756" s="23">
        <f t="shared" si="26"/>
        <v>1074.0666666666666</v>
      </c>
    </row>
    <row r="757" spans="1:4">
      <c r="A757">
        <v>755</v>
      </c>
      <c r="B757" s="4">
        <v>28</v>
      </c>
      <c r="C757" s="23">
        <f t="shared" si="25"/>
        <v>10.166666666666666</v>
      </c>
      <c r="D757" s="23">
        <f t="shared" si="26"/>
        <v>1074.3333333333333</v>
      </c>
    </row>
    <row r="758" spans="1:4">
      <c r="A758">
        <v>756</v>
      </c>
      <c r="B758" s="4">
        <v>28</v>
      </c>
      <c r="C758" s="23">
        <f t="shared" si="25"/>
        <v>10.199999999999999</v>
      </c>
      <c r="D758" s="23">
        <f t="shared" si="26"/>
        <v>1074.5999999999999</v>
      </c>
    </row>
    <row r="759" spans="1:4">
      <c r="A759">
        <v>757</v>
      </c>
      <c r="B759" s="4">
        <v>28</v>
      </c>
      <c r="C759" s="23">
        <f t="shared" si="25"/>
        <v>10.233333333333334</v>
      </c>
      <c r="D759" s="23">
        <f t="shared" si="26"/>
        <v>1074.8666666666666</v>
      </c>
    </row>
    <row r="760" spans="1:4">
      <c r="A760">
        <v>758</v>
      </c>
      <c r="B760" s="4">
        <v>28</v>
      </c>
      <c r="C760" s="23">
        <f t="shared" si="25"/>
        <v>10.266666666666666</v>
      </c>
      <c r="D760" s="23">
        <f t="shared" si="26"/>
        <v>1075.1333333333334</v>
      </c>
    </row>
    <row r="761" spans="1:4">
      <c r="A761">
        <v>759</v>
      </c>
      <c r="B761" s="4">
        <v>28</v>
      </c>
      <c r="C761" s="23">
        <f t="shared" si="25"/>
        <v>10.3</v>
      </c>
      <c r="D761" s="23">
        <f t="shared" si="26"/>
        <v>1075.4000000000001</v>
      </c>
    </row>
    <row r="762" spans="1:4">
      <c r="A762">
        <v>760</v>
      </c>
      <c r="B762" s="4">
        <v>28</v>
      </c>
      <c r="C762" s="23">
        <f t="shared" si="25"/>
        <v>10.333333333333334</v>
      </c>
      <c r="D762" s="23">
        <f t="shared" si="26"/>
        <v>1075.6666666666667</v>
      </c>
    </row>
    <row r="763" spans="1:4">
      <c r="A763">
        <v>761</v>
      </c>
      <c r="B763" s="4">
        <v>28</v>
      </c>
      <c r="C763" s="23">
        <f t="shared" si="25"/>
        <v>10.366666666666667</v>
      </c>
      <c r="D763" s="23">
        <f t="shared" si="26"/>
        <v>1075.9333333333334</v>
      </c>
    </row>
    <row r="764" spans="1:4">
      <c r="A764">
        <v>762</v>
      </c>
      <c r="B764" s="4">
        <v>28</v>
      </c>
      <c r="C764" s="23">
        <f t="shared" si="25"/>
        <v>10.4</v>
      </c>
      <c r="D764" s="23">
        <f t="shared" si="26"/>
        <v>1076.2</v>
      </c>
    </row>
    <row r="765" spans="1:4">
      <c r="A765">
        <v>763</v>
      </c>
      <c r="B765" s="4">
        <v>28</v>
      </c>
      <c r="C765" s="23">
        <f t="shared" si="25"/>
        <v>10.433333333333334</v>
      </c>
      <c r="D765" s="23">
        <f t="shared" si="26"/>
        <v>1076.4666666666667</v>
      </c>
    </row>
    <row r="766" spans="1:4">
      <c r="A766">
        <v>764</v>
      </c>
      <c r="B766" s="4">
        <v>28</v>
      </c>
      <c r="C766" s="23">
        <f t="shared" si="25"/>
        <v>10.466666666666667</v>
      </c>
      <c r="D766" s="23">
        <f t="shared" si="26"/>
        <v>1076.7333333333333</v>
      </c>
    </row>
    <row r="767" spans="1:4">
      <c r="A767">
        <v>765</v>
      </c>
      <c r="B767" s="4">
        <v>28</v>
      </c>
      <c r="C767" s="23">
        <f t="shared" si="25"/>
        <v>10.5</v>
      </c>
      <c r="D767" s="23">
        <f t="shared" si="26"/>
        <v>1077</v>
      </c>
    </row>
    <row r="768" spans="1:4">
      <c r="A768">
        <v>766</v>
      </c>
      <c r="B768" s="4">
        <v>28</v>
      </c>
      <c r="C768" s="23">
        <f t="shared" si="25"/>
        <v>10.533333333333333</v>
      </c>
      <c r="D768" s="23">
        <f t="shared" si="26"/>
        <v>1077.2666666666667</v>
      </c>
    </row>
    <row r="769" spans="1:4">
      <c r="A769">
        <v>767</v>
      </c>
      <c r="B769" s="4">
        <v>28</v>
      </c>
      <c r="C769" s="23">
        <f t="shared" si="25"/>
        <v>10.566666666666666</v>
      </c>
      <c r="D769" s="23">
        <f t="shared" si="26"/>
        <v>1077.5333333333333</v>
      </c>
    </row>
    <row r="770" spans="1:4">
      <c r="A770">
        <v>768</v>
      </c>
      <c r="B770" s="4">
        <v>28</v>
      </c>
      <c r="C770" s="23">
        <f t="shared" si="25"/>
        <v>10.6</v>
      </c>
      <c r="D770" s="23">
        <f t="shared" si="26"/>
        <v>1077.8</v>
      </c>
    </row>
    <row r="771" spans="1:4">
      <c r="A771">
        <v>769</v>
      </c>
      <c r="B771" s="4">
        <v>28</v>
      </c>
      <c r="C771" s="23">
        <f t="shared" si="25"/>
        <v>10.633333333333333</v>
      </c>
      <c r="D771" s="23">
        <f t="shared" si="26"/>
        <v>1078.0666666666666</v>
      </c>
    </row>
    <row r="772" spans="1:4">
      <c r="A772">
        <v>770</v>
      </c>
      <c r="B772" s="4">
        <v>28</v>
      </c>
      <c r="C772" s="23">
        <f t="shared" si="25"/>
        <v>10.666666666666666</v>
      </c>
      <c r="D772" s="23">
        <f t="shared" si="26"/>
        <v>1078.3333333333333</v>
      </c>
    </row>
    <row r="773" spans="1:4">
      <c r="A773">
        <v>771</v>
      </c>
      <c r="B773" s="4">
        <v>28</v>
      </c>
      <c r="C773" s="23">
        <f t="shared" si="25"/>
        <v>10.7</v>
      </c>
      <c r="D773" s="23">
        <f t="shared" si="26"/>
        <v>1078.5999999999999</v>
      </c>
    </row>
    <row r="774" spans="1:4">
      <c r="A774">
        <v>772</v>
      </c>
      <c r="B774" s="4">
        <v>28</v>
      </c>
      <c r="C774" s="23">
        <f t="shared" si="25"/>
        <v>10.733333333333334</v>
      </c>
      <c r="D774" s="23">
        <f t="shared" si="26"/>
        <v>1078.8666666666666</v>
      </c>
    </row>
    <row r="775" spans="1:4">
      <c r="A775">
        <v>773</v>
      </c>
      <c r="B775" s="4">
        <v>28</v>
      </c>
      <c r="C775" s="23">
        <f t="shared" si="25"/>
        <v>10.766666666666666</v>
      </c>
      <c r="D775" s="23">
        <f t="shared" si="26"/>
        <v>1079.1333333333334</v>
      </c>
    </row>
    <row r="776" spans="1:4">
      <c r="A776">
        <v>774</v>
      </c>
      <c r="B776" s="4">
        <v>28</v>
      </c>
      <c r="C776" s="23">
        <f t="shared" si="25"/>
        <v>10.8</v>
      </c>
      <c r="D776" s="23">
        <f t="shared" si="26"/>
        <v>1079.4000000000001</v>
      </c>
    </row>
    <row r="777" spans="1:4">
      <c r="A777">
        <v>775</v>
      </c>
      <c r="B777" s="4">
        <v>28</v>
      </c>
      <c r="C777" s="23">
        <f t="shared" si="25"/>
        <v>10.833333333333334</v>
      </c>
      <c r="D777" s="23">
        <f t="shared" si="26"/>
        <v>1079.6666666666667</v>
      </c>
    </row>
    <row r="778" spans="1:4">
      <c r="A778">
        <v>776</v>
      </c>
      <c r="B778" s="4">
        <v>28</v>
      </c>
      <c r="C778" s="23">
        <f t="shared" si="25"/>
        <v>10.866666666666667</v>
      </c>
      <c r="D778" s="23">
        <f t="shared" si="26"/>
        <v>1079.9333333333334</v>
      </c>
    </row>
    <row r="779" spans="1:4">
      <c r="A779">
        <v>777</v>
      </c>
      <c r="B779" s="4">
        <v>28</v>
      </c>
      <c r="C779" s="23">
        <f t="shared" si="25"/>
        <v>10.9</v>
      </c>
      <c r="D779" s="23">
        <f t="shared" si="26"/>
        <v>1080.2</v>
      </c>
    </row>
    <row r="780" spans="1:4">
      <c r="A780">
        <v>778</v>
      </c>
      <c r="B780" s="4">
        <v>28</v>
      </c>
      <c r="C780" s="23">
        <f t="shared" si="25"/>
        <v>10.933333333333334</v>
      </c>
      <c r="D780" s="23">
        <f t="shared" si="26"/>
        <v>1080.4666666666667</v>
      </c>
    </row>
    <row r="781" spans="1:4">
      <c r="A781">
        <v>779</v>
      </c>
      <c r="B781" s="4">
        <v>28</v>
      </c>
      <c r="C781" s="23">
        <f t="shared" si="25"/>
        <v>10.966666666666667</v>
      </c>
      <c r="D781" s="23">
        <f t="shared" si="26"/>
        <v>1080.7333333333333</v>
      </c>
    </row>
    <row r="782" spans="1:4">
      <c r="A782">
        <v>780</v>
      </c>
      <c r="B782" s="4">
        <v>28</v>
      </c>
      <c r="C782" s="23">
        <f t="shared" si="25"/>
        <v>11</v>
      </c>
      <c r="D782" s="5">
        <v>1081</v>
      </c>
    </row>
    <row r="783" spans="1:4">
      <c r="A783">
        <v>781</v>
      </c>
      <c r="B783" s="23">
        <f>(A783-$A$782)*-1/60+28</f>
        <v>27.983333333333334</v>
      </c>
      <c r="C783" s="23">
        <f t="shared" si="25"/>
        <v>11.033333333333333</v>
      </c>
      <c r="D783" s="23">
        <f>$D$782-(A783-$A$782)*($D$782-$D$842)/60</f>
        <v>1080.1333333333334</v>
      </c>
    </row>
    <row r="784" spans="1:4">
      <c r="A784">
        <v>782</v>
      </c>
      <c r="B784" s="23">
        <f t="shared" ref="B784:B841" si="27">(A784-$A$782)*-1/60+28</f>
        <v>27.966666666666665</v>
      </c>
      <c r="C784" s="23">
        <f t="shared" si="25"/>
        <v>11.066666666666666</v>
      </c>
      <c r="D784" s="23">
        <f t="shared" ref="D784:D841" si="28">$D$782-(A784-$A$782)*($D$782-$D$842)/60</f>
        <v>1079.2666666666667</v>
      </c>
    </row>
    <row r="785" spans="1:4">
      <c r="A785">
        <v>783</v>
      </c>
      <c r="B785" s="23">
        <f t="shared" si="27"/>
        <v>27.95</v>
      </c>
      <c r="C785" s="23">
        <f t="shared" si="25"/>
        <v>11.1</v>
      </c>
      <c r="D785" s="23">
        <f t="shared" si="28"/>
        <v>1078.4000000000001</v>
      </c>
    </row>
    <row r="786" spans="1:4">
      <c r="A786">
        <v>784</v>
      </c>
      <c r="B786" s="23">
        <f t="shared" si="27"/>
        <v>27.933333333333334</v>
      </c>
      <c r="C786" s="23">
        <f t="shared" si="25"/>
        <v>11.133333333333333</v>
      </c>
      <c r="D786" s="23">
        <f t="shared" si="28"/>
        <v>1077.5333333333333</v>
      </c>
    </row>
    <row r="787" spans="1:4">
      <c r="A787">
        <v>785</v>
      </c>
      <c r="B787" s="23">
        <f t="shared" si="27"/>
        <v>27.916666666666668</v>
      </c>
      <c r="C787" s="23">
        <f t="shared" si="25"/>
        <v>11.166666666666666</v>
      </c>
      <c r="D787" s="23">
        <f t="shared" si="28"/>
        <v>1076.6666666666667</v>
      </c>
    </row>
    <row r="788" spans="1:4">
      <c r="A788">
        <v>786</v>
      </c>
      <c r="B788" s="23">
        <f t="shared" si="27"/>
        <v>27.9</v>
      </c>
      <c r="C788" s="23">
        <f t="shared" ref="C788:C841" si="29">(A788-$A$722)*2/60+9</f>
        <v>11.2</v>
      </c>
      <c r="D788" s="23">
        <f t="shared" si="28"/>
        <v>1075.8</v>
      </c>
    </row>
    <row r="789" spans="1:4">
      <c r="A789">
        <v>787</v>
      </c>
      <c r="B789" s="23">
        <f t="shared" si="27"/>
        <v>27.883333333333333</v>
      </c>
      <c r="C789" s="23">
        <f t="shared" si="29"/>
        <v>11.233333333333334</v>
      </c>
      <c r="D789" s="23">
        <f t="shared" si="28"/>
        <v>1074.9333333333334</v>
      </c>
    </row>
    <row r="790" spans="1:4">
      <c r="A790">
        <v>788</v>
      </c>
      <c r="B790" s="23">
        <f t="shared" si="27"/>
        <v>27.866666666666667</v>
      </c>
      <c r="C790" s="23">
        <f t="shared" si="29"/>
        <v>11.266666666666666</v>
      </c>
      <c r="D790" s="23">
        <f t="shared" si="28"/>
        <v>1074.0666666666666</v>
      </c>
    </row>
    <row r="791" spans="1:4">
      <c r="A791">
        <v>789</v>
      </c>
      <c r="B791" s="23">
        <f t="shared" si="27"/>
        <v>27.85</v>
      </c>
      <c r="C791" s="23">
        <f t="shared" si="29"/>
        <v>11.3</v>
      </c>
      <c r="D791" s="23">
        <f t="shared" si="28"/>
        <v>1073.2</v>
      </c>
    </row>
    <row r="792" spans="1:4">
      <c r="A792">
        <v>790</v>
      </c>
      <c r="B792" s="23">
        <f t="shared" si="27"/>
        <v>27.833333333333332</v>
      </c>
      <c r="C792" s="23">
        <f t="shared" si="29"/>
        <v>11.333333333333334</v>
      </c>
      <c r="D792" s="23">
        <f t="shared" si="28"/>
        <v>1072.3333333333333</v>
      </c>
    </row>
    <row r="793" spans="1:4">
      <c r="A793">
        <v>791</v>
      </c>
      <c r="B793" s="23">
        <f t="shared" si="27"/>
        <v>27.816666666666666</v>
      </c>
      <c r="C793" s="23">
        <f t="shared" si="29"/>
        <v>11.366666666666667</v>
      </c>
      <c r="D793" s="23">
        <f t="shared" si="28"/>
        <v>1071.4666666666667</v>
      </c>
    </row>
    <row r="794" spans="1:4">
      <c r="A794">
        <v>792</v>
      </c>
      <c r="B794" s="23">
        <f t="shared" si="27"/>
        <v>27.8</v>
      </c>
      <c r="C794" s="23">
        <f t="shared" si="29"/>
        <v>11.4</v>
      </c>
      <c r="D794" s="23">
        <f t="shared" si="28"/>
        <v>1070.5999999999999</v>
      </c>
    </row>
    <row r="795" spans="1:4">
      <c r="A795">
        <v>793</v>
      </c>
      <c r="B795" s="23">
        <f t="shared" si="27"/>
        <v>27.783333333333335</v>
      </c>
      <c r="C795" s="23">
        <f t="shared" si="29"/>
        <v>11.433333333333334</v>
      </c>
      <c r="D795" s="23">
        <f t="shared" si="28"/>
        <v>1069.7333333333333</v>
      </c>
    </row>
    <row r="796" spans="1:4">
      <c r="A796">
        <v>794</v>
      </c>
      <c r="B796" s="23">
        <f t="shared" si="27"/>
        <v>27.766666666666666</v>
      </c>
      <c r="C796" s="23">
        <f t="shared" si="29"/>
        <v>11.466666666666667</v>
      </c>
      <c r="D796" s="23">
        <f t="shared" si="28"/>
        <v>1068.8666666666666</v>
      </c>
    </row>
    <row r="797" spans="1:4">
      <c r="A797">
        <v>795</v>
      </c>
      <c r="B797" s="23">
        <f t="shared" si="27"/>
        <v>27.75</v>
      </c>
      <c r="C797" s="23">
        <f t="shared" si="29"/>
        <v>11.5</v>
      </c>
      <c r="D797" s="23">
        <f t="shared" si="28"/>
        <v>1068</v>
      </c>
    </row>
    <row r="798" spans="1:4">
      <c r="A798">
        <v>796</v>
      </c>
      <c r="B798" s="23">
        <f t="shared" si="27"/>
        <v>27.733333333333334</v>
      </c>
      <c r="C798" s="23">
        <f t="shared" si="29"/>
        <v>11.533333333333333</v>
      </c>
      <c r="D798" s="23">
        <f t="shared" si="28"/>
        <v>1067.1333333333334</v>
      </c>
    </row>
    <row r="799" spans="1:4">
      <c r="A799">
        <v>797</v>
      </c>
      <c r="B799" s="23">
        <f t="shared" si="27"/>
        <v>27.716666666666665</v>
      </c>
      <c r="C799" s="23">
        <f t="shared" si="29"/>
        <v>11.566666666666666</v>
      </c>
      <c r="D799" s="23">
        <f t="shared" si="28"/>
        <v>1066.2666666666667</v>
      </c>
    </row>
    <row r="800" spans="1:4">
      <c r="A800">
        <v>798</v>
      </c>
      <c r="B800" s="23">
        <f t="shared" si="27"/>
        <v>27.7</v>
      </c>
      <c r="C800" s="23">
        <f t="shared" si="29"/>
        <v>11.6</v>
      </c>
      <c r="D800" s="23">
        <f t="shared" si="28"/>
        <v>1065.4000000000001</v>
      </c>
    </row>
    <row r="801" spans="1:4">
      <c r="A801">
        <v>799</v>
      </c>
      <c r="B801" s="23">
        <f t="shared" si="27"/>
        <v>27.683333333333334</v>
      </c>
      <c r="C801" s="23">
        <f t="shared" si="29"/>
        <v>11.633333333333333</v>
      </c>
      <c r="D801" s="23">
        <f t="shared" si="28"/>
        <v>1064.5333333333333</v>
      </c>
    </row>
    <row r="802" spans="1:4">
      <c r="A802">
        <v>800</v>
      </c>
      <c r="B802" s="23">
        <f t="shared" si="27"/>
        <v>27.666666666666668</v>
      </c>
      <c r="C802" s="23">
        <f t="shared" si="29"/>
        <v>11.666666666666666</v>
      </c>
      <c r="D802" s="23">
        <f t="shared" si="28"/>
        <v>1063.6666666666667</v>
      </c>
    </row>
    <row r="803" spans="1:4">
      <c r="A803">
        <v>801</v>
      </c>
      <c r="B803" s="23">
        <f t="shared" si="27"/>
        <v>27.65</v>
      </c>
      <c r="C803" s="23">
        <f t="shared" si="29"/>
        <v>11.7</v>
      </c>
      <c r="D803" s="23">
        <f t="shared" si="28"/>
        <v>1062.8</v>
      </c>
    </row>
    <row r="804" spans="1:4">
      <c r="A804">
        <v>802</v>
      </c>
      <c r="B804" s="23">
        <f t="shared" si="27"/>
        <v>27.633333333333333</v>
      </c>
      <c r="C804" s="23">
        <f t="shared" si="29"/>
        <v>11.733333333333334</v>
      </c>
      <c r="D804" s="23">
        <f t="shared" si="28"/>
        <v>1061.9333333333334</v>
      </c>
    </row>
    <row r="805" spans="1:4">
      <c r="A805">
        <v>803</v>
      </c>
      <c r="B805" s="23">
        <f t="shared" si="27"/>
        <v>27.616666666666667</v>
      </c>
      <c r="C805" s="23">
        <f t="shared" si="29"/>
        <v>11.766666666666666</v>
      </c>
      <c r="D805" s="23">
        <f t="shared" si="28"/>
        <v>1061.0666666666666</v>
      </c>
    </row>
    <row r="806" spans="1:4">
      <c r="A806">
        <v>804</v>
      </c>
      <c r="B806" s="23">
        <f t="shared" si="27"/>
        <v>27.6</v>
      </c>
      <c r="C806" s="23">
        <f t="shared" si="29"/>
        <v>11.8</v>
      </c>
      <c r="D806" s="23">
        <f t="shared" si="28"/>
        <v>1060.2</v>
      </c>
    </row>
    <row r="807" spans="1:4">
      <c r="A807">
        <v>805</v>
      </c>
      <c r="B807" s="23">
        <f t="shared" si="27"/>
        <v>27.583333333333332</v>
      </c>
      <c r="C807" s="23">
        <f t="shared" si="29"/>
        <v>11.833333333333334</v>
      </c>
      <c r="D807" s="23">
        <f t="shared" si="28"/>
        <v>1059.3333333333333</v>
      </c>
    </row>
    <row r="808" spans="1:4">
      <c r="A808">
        <v>806</v>
      </c>
      <c r="B808" s="23">
        <f t="shared" si="27"/>
        <v>27.566666666666666</v>
      </c>
      <c r="C808" s="23">
        <f t="shared" si="29"/>
        <v>11.866666666666667</v>
      </c>
      <c r="D808" s="23">
        <f t="shared" si="28"/>
        <v>1058.4666666666667</v>
      </c>
    </row>
    <row r="809" spans="1:4">
      <c r="A809">
        <v>807</v>
      </c>
      <c r="B809" s="23">
        <f t="shared" si="27"/>
        <v>27.55</v>
      </c>
      <c r="C809" s="23">
        <f t="shared" si="29"/>
        <v>11.9</v>
      </c>
      <c r="D809" s="23">
        <f t="shared" si="28"/>
        <v>1057.5999999999999</v>
      </c>
    </row>
    <row r="810" spans="1:4">
      <c r="A810">
        <v>808</v>
      </c>
      <c r="B810" s="23">
        <f t="shared" si="27"/>
        <v>27.533333333333335</v>
      </c>
      <c r="C810" s="23">
        <f t="shared" si="29"/>
        <v>11.933333333333334</v>
      </c>
      <c r="D810" s="23">
        <f t="shared" si="28"/>
        <v>1056.7333333333333</v>
      </c>
    </row>
    <row r="811" spans="1:4">
      <c r="A811">
        <v>809</v>
      </c>
      <c r="B811" s="23">
        <f t="shared" si="27"/>
        <v>27.516666666666666</v>
      </c>
      <c r="C811" s="23">
        <f t="shared" si="29"/>
        <v>11.966666666666667</v>
      </c>
      <c r="D811" s="23">
        <f t="shared" si="28"/>
        <v>1055.8666666666666</v>
      </c>
    </row>
    <row r="812" spans="1:4">
      <c r="A812">
        <v>810</v>
      </c>
      <c r="B812" s="23">
        <f t="shared" si="27"/>
        <v>27.5</v>
      </c>
      <c r="C812" s="23">
        <f t="shared" si="29"/>
        <v>12</v>
      </c>
      <c r="D812" s="23">
        <f t="shared" si="28"/>
        <v>1055</v>
      </c>
    </row>
    <row r="813" spans="1:4">
      <c r="A813">
        <v>811</v>
      </c>
      <c r="B813" s="23">
        <f t="shared" si="27"/>
        <v>27.483333333333334</v>
      </c>
      <c r="C813" s="23">
        <f t="shared" si="29"/>
        <v>12.033333333333333</v>
      </c>
      <c r="D813" s="23">
        <f t="shared" si="28"/>
        <v>1054.1333333333334</v>
      </c>
    </row>
    <row r="814" spans="1:4">
      <c r="A814">
        <v>812</v>
      </c>
      <c r="B814" s="23">
        <f t="shared" si="27"/>
        <v>27.466666666666665</v>
      </c>
      <c r="C814" s="23">
        <f t="shared" si="29"/>
        <v>12.066666666666666</v>
      </c>
      <c r="D814" s="23">
        <f t="shared" si="28"/>
        <v>1053.2666666666667</v>
      </c>
    </row>
    <row r="815" spans="1:4">
      <c r="A815">
        <v>813</v>
      </c>
      <c r="B815" s="23">
        <f t="shared" si="27"/>
        <v>27.45</v>
      </c>
      <c r="C815" s="23">
        <f t="shared" si="29"/>
        <v>12.1</v>
      </c>
      <c r="D815" s="23">
        <f t="shared" si="28"/>
        <v>1052.4000000000001</v>
      </c>
    </row>
    <row r="816" spans="1:4">
      <c r="A816">
        <v>814</v>
      </c>
      <c r="B816" s="23">
        <f t="shared" si="27"/>
        <v>27.433333333333334</v>
      </c>
      <c r="C816" s="23">
        <f t="shared" si="29"/>
        <v>12.133333333333333</v>
      </c>
      <c r="D816" s="23">
        <f t="shared" si="28"/>
        <v>1051.5333333333333</v>
      </c>
    </row>
    <row r="817" spans="1:4">
      <c r="A817">
        <v>815</v>
      </c>
      <c r="B817" s="23">
        <f t="shared" si="27"/>
        <v>27.416666666666668</v>
      </c>
      <c r="C817" s="23">
        <f t="shared" si="29"/>
        <v>12.166666666666666</v>
      </c>
      <c r="D817" s="23">
        <f t="shared" si="28"/>
        <v>1050.6666666666667</v>
      </c>
    </row>
    <row r="818" spans="1:4">
      <c r="A818">
        <v>816</v>
      </c>
      <c r="B818" s="23">
        <f t="shared" si="27"/>
        <v>27.4</v>
      </c>
      <c r="C818" s="23">
        <f t="shared" si="29"/>
        <v>12.2</v>
      </c>
      <c r="D818" s="23">
        <f t="shared" si="28"/>
        <v>1049.8</v>
      </c>
    </row>
    <row r="819" spans="1:4">
      <c r="A819">
        <v>817</v>
      </c>
      <c r="B819" s="23">
        <f t="shared" si="27"/>
        <v>27.383333333333333</v>
      </c>
      <c r="C819" s="23">
        <f t="shared" si="29"/>
        <v>12.233333333333334</v>
      </c>
      <c r="D819" s="23">
        <f t="shared" si="28"/>
        <v>1048.9333333333334</v>
      </c>
    </row>
    <row r="820" spans="1:4">
      <c r="A820">
        <v>818</v>
      </c>
      <c r="B820" s="23">
        <f t="shared" si="27"/>
        <v>27.366666666666667</v>
      </c>
      <c r="C820" s="23">
        <f t="shared" si="29"/>
        <v>12.266666666666666</v>
      </c>
      <c r="D820" s="23">
        <f t="shared" si="28"/>
        <v>1048.0666666666666</v>
      </c>
    </row>
    <row r="821" spans="1:4">
      <c r="A821">
        <v>819</v>
      </c>
      <c r="B821" s="23">
        <f t="shared" si="27"/>
        <v>27.35</v>
      </c>
      <c r="C821" s="23">
        <f t="shared" si="29"/>
        <v>12.3</v>
      </c>
      <c r="D821" s="23">
        <f t="shared" si="28"/>
        <v>1047.2</v>
      </c>
    </row>
    <row r="822" spans="1:4">
      <c r="A822">
        <v>820</v>
      </c>
      <c r="B822" s="23">
        <f t="shared" si="27"/>
        <v>27.333333333333332</v>
      </c>
      <c r="C822" s="23">
        <f t="shared" si="29"/>
        <v>12.333333333333334</v>
      </c>
      <c r="D822" s="23">
        <f t="shared" si="28"/>
        <v>1046.3333333333333</v>
      </c>
    </row>
    <row r="823" spans="1:4">
      <c r="A823">
        <v>821</v>
      </c>
      <c r="B823" s="23">
        <f t="shared" si="27"/>
        <v>27.316666666666666</v>
      </c>
      <c r="C823" s="23">
        <f t="shared" si="29"/>
        <v>12.366666666666667</v>
      </c>
      <c r="D823" s="23">
        <f t="shared" si="28"/>
        <v>1045.4666666666667</v>
      </c>
    </row>
    <row r="824" spans="1:4">
      <c r="A824">
        <v>822</v>
      </c>
      <c r="B824" s="23">
        <f t="shared" si="27"/>
        <v>27.3</v>
      </c>
      <c r="C824" s="23">
        <f t="shared" si="29"/>
        <v>12.4</v>
      </c>
      <c r="D824" s="23">
        <f t="shared" si="28"/>
        <v>1044.5999999999999</v>
      </c>
    </row>
    <row r="825" spans="1:4">
      <c r="A825">
        <v>823</v>
      </c>
      <c r="B825" s="23">
        <f t="shared" si="27"/>
        <v>27.283333333333335</v>
      </c>
      <c r="C825" s="23">
        <f t="shared" si="29"/>
        <v>12.433333333333334</v>
      </c>
      <c r="D825" s="23">
        <f t="shared" si="28"/>
        <v>1043.7333333333333</v>
      </c>
    </row>
    <row r="826" spans="1:4">
      <c r="A826">
        <v>824</v>
      </c>
      <c r="B826" s="23">
        <f t="shared" si="27"/>
        <v>27.266666666666666</v>
      </c>
      <c r="C826" s="23">
        <f t="shared" si="29"/>
        <v>12.466666666666667</v>
      </c>
      <c r="D826" s="23">
        <f t="shared" si="28"/>
        <v>1042.8666666666666</v>
      </c>
    </row>
    <row r="827" spans="1:4">
      <c r="A827">
        <v>825</v>
      </c>
      <c r="B827" s="23">
        <f t="shared" si="27"/>
        <v>27.25</v>
      </c>
      <c r="C827" s="23">
        <f t="shared" si="29"/>
        <v>12.5</v>
      </c>
      <c r="D827" s="23">
        <f t="shared" si="28"/>
        <v>1042</v>
      </c>
    </row>
    <row r="828" spans="1:4">
      <c r="A828">
        <v>826</v>
      </c>
      <c r="B828" s="23">
        <f t="shared" si="27"/>
        <v>27.233333333333334</v>
      </c>
      <c r="C828" s="23">
        <f t="shared" si="29"/>
        <v>12.533333333333333</v>
      </c>
      <c r="D828" s="23">
        <f t="shared" si="28"/>
        <v>1041.1333333333334</v>
      </c>
    </row>
    <row r="829" spans="1:4">
      <c r="A829">
        <v>827</v>
      </c>
      <c r="B829" s="23">
        <f t="shared" si="27"/>
        <v>27.216666666666665</v>
      </c>
      <c r="C829" s="23">
        <f t="shared" si="29"/>
        <v>12.566666666666666</v>
      </c>
      <c r="D829" s="23">
        <f t="shared" si="28"/>
        <v>1040.2666666666667</v>
      </c>
    </row>
    <row r="830" spans="1:4">
      <c r="A830">
        <v>828</v>
      </c>
      <c r="B830" s="23">
        <f t="shared" si="27"/>
        <v>27.2</v>
      </c>
      <c r="C830" s="23">
        <f t="shared" si="29"/>
        <v>12.6</v>
      </c>
      <c r="D830" s="23">
        <f t="shared" si="28"/>
        <v>1039.4000000000001</v>
      </c>
    </row>
    <row r="831" spans="1:4">
      <c r="A831">
        <v>829</v>
      </c>
      <c r="B831" s="23">
        <f t="shared" si="27"/>
        <v>27.183333333333334</v>
      </c>
      <c r="C831" s="23">
        <f t="shared" si="29"/>
        <v>12.633333333333333</v>
      </c>
      <c r="D831" s="23">
        <f t="shared" si="28"/>
        <v>1038.5333333333333</v>
      </c>
    </row>
    <row r="832" spans="1:4">
      <c r="A832">
        <v>830</v>
      </c>
      <c r="B832" s="23">
        <f t="shared" si="27"/>
        <v>27.166666666666668</v>
      </c>
      <c r="C832" s="23">
        <f t="shared" si="29"/>
        <v>12.666666666666666</v>
      </c>
      <c r="D832" s="23">
        <f t="shared" si="28"/>
        <v>1037.6666666666667</v>
      </c>
    </row>
    <row r="833" spans="1:4">
      <c r="A833">
        <v>831</v>
      </c>
      <c r="B833" s="23">
        <f t="shared" si="27"/>
        <v>27.15</v>
      </c>
      <c r="C833" s="23">
        <f t="shared" si="29"/>
        <v>12.7</v>
      </c>
      <c r="D833" s="23">
        <f t="shared" si="28"/>
        <v>1036.8</v>
      </c>
    </row>
    <row r="834" spans="1:4">
      <c r="A834">
        <v>832</v>
      </c>
      <c r="B834" s="23">
        <f t="shared" si="27"/>
        <v>27.133333333333333</v>
      </c>
      <c r="C834" s="23">
        <f t="shared" si="29"/>
        <v>12.733333333333334</v>
      </c>
      <c r="D834" s="23">
        <f t="shared" si="28"/>
        <v>1035.9333333333334</v>
      </c>
    </row>
    <row r="835" spans="1:4">
      <c r="A835">
        <v>833</v>
      </c>
      <c r="B835" s="23">
        <f t="shared" si="27"/>
        <v>27.116666666666667</v>
      </c>
      <c r="C835" s="23">
        <f t="shared" si="29"/>
        <v>12.766666666666666</v>
      </c>
      <c r="D835" s="23">
        <f t="shared" si="28"/>
        <v>1035.0666666666666</v>
      </c>
    </row>
    <row r="836" spans="1:4">
      <c r="A836">
        <v>834</v>
      </c>
      <c r="B836" s="23">
        <f t="shared" si="27"/>
        <v>27.1</v>
      </c>
      <c r="C836" s="23">
        <f t="shared" si="29"/>
        <v>12.8</v>
      </c>
      <c r="D836" s="23">
        <f t="shared" si="28"/>
        <v>1034.2</v>
      </c>
    </row>
    <row r="837" spans="1:4">
      <c r="A837">
        <v>835</v>
      </c>
      <c r="B837" s="23">
        <f t="shared" si="27"/>
        <v>27.083333333333332</v>
      </c>
      <c r="C837" s="23">
        <f t="shared" si="29"/>
        <v>12.833333333333334</v>
      </c>
      <c r="D837" s="23">
        <f t="shared" si="28"/>
        <v>1033.3333333333333</v>
      </c>
    </row>
    <row r="838" spans="1:4">
      <c r="A838">
        <v>836</v>
      </c>
      <c r="B838" s="23">
        <f t="shared" si="27"/>
        <v>27.066666666666666</v>
      </c>
      <c r="C838" s="23">
        <f t="shared" si="29"/>
        <v>12.866666666666667</v>
      </c>
      <c r="D838" s="23">
        <f t="shared" si="28"/>
        <v>1032.4666666666667</v>
      </c>
    </row>
    <row r="839" spans="1:4">
      <c r="A839">
        <v>837</v>
      </c>
      <c r="B839" s="23">
        <f t="shared" si="27"/>
        <v>27.05</v>
      </c>
      <c r="C839" s="23">
        <f t="shared" si="29"/>
        <v>12.9</v>
      </c>
      <c r="D839" s="23">
        <f t="shared" si="28"/>
        <v>1031.5999999999999</v>
      </c>
    </row>
    <row r="840" spans="1:4">
      <c r="A840">
        <v>838</v>
      </c>
      <c r="B840" s="23">
        <f t="shared" si="27"/>
        <v>27.033333333333335</v>
      </c>
      <c r="C840" s="23">
        <f t="shared" si="29"/>
        <v>12.933333333333334</v>
      </c>
      <c r="D840" s="23">
        <f t="shared" si="28"/>
        <v>1030.7333333333333</v>
      </c>
    </row>
    <row r="841" spans="1:4">
      <c r="A841">
        <v>839</v>
      </c>
      <c r="B841" s="23">
        <f t="shared" si="27"/>
        <v>27.016666666666666</v>
      </c>
      <c r="C841" s="23">
        <f t="shared" si="29"/>
        <v>12.966666666666667</v>
      </c>
      <c r="D841" s="23">
        <f t="shared" si="28"/>
        <v>1029.8666666666666</v>
      </c>
    </row>
    <row r="842" spans="1:4">
      <c r="A842">
        <v>840</v>
      </c>
      <c r="B842" s="4">
        <v>27</v>
      </c>
      <c r="C842" s="20">
        <v>13</v>
      </c>
      <c r="D842" s="5">
        <v>1029</v>
      </c>
    </row>
    <row r="843" spans="1:4">
      <c r="A843">
        <v>841</v>
      </c>
      <c r="B843" s="4">
        <v>27</v>
      </c>
      <c r="C843" s="23">
        <f>(A843-$A$842)*-1/60+13</f>
        <v>12.983333333333333</v>
      </c>
      <c r="D843" s="23">
        <f>$D$842-(A843-$A$842)*($D$842-$D$902)/60</f>
        <v>1026.8</v>
      </c>
    </row>
    <row r="844" spans="1:4">
      <c r="A844">
        <v>842</v>
      </c>
      <c r="B844" s="4">
        <v>27</v>
      </c>
      <c r="C844" s="23">
        <f t="shared" ref="C844:C901" si="30">(A844-$A$842)*-1/60+13</f>
        <v>12.966666666666667</v>
      </c>
      <c r="D844" s="23">
        <f t="shared" ref="D844:D901" si="31">$D$842-(A844-$A$842)*($D$842-$D$902)/60</f>
        <v>1024.5999999999999</v>
      </c>
    </row>
    <row r="845" spans="1:4">
      <c r="A845">
        <v>843</v>
      </c>
      <c r="B845" s="4">
        <v>27</v>
      </c>
      <c r="C845" s="23">
        <f t="shared" si="30"/>
        <v>12.95</v>
      </c>
      <c r="D845" s="23">
        <f t="shared" si="31"/>
        <v>1022.4</v>
      </c>
    </row>
    <row r="846" spans="1:4">
      <c r="A846">
        <v>844</v>
      </c>
      <c r="B846" s="4">
        <v>27</v>
      </c>
      <c r="C846" s="23">
        <f t="shared" si="30"/>
        <v>12.933333333333334</v>
      </c>
      <c r="D846" s="23">
        <f t="shared" si="31"/>
        <v>1020.2</v>
      </c>
    </row>
    <row r="847" spans="1:4">
      <c r="A847">
        <v>845</v>
      </c>
      <c r="B847" s="4">
        <v>27</v>
      </c>
      <c r="C847" s="23">
        <f t="shared" si="30"/>
        <v>12.916666666666666</v>
      </c>
      <c r="D847" s="23">
        <f t="shared" si="31"/>
        <v>1018</v>
      </c>
    </row>
    <row r="848" spans="1:4">
      <c r="A848">
        <v>846</v>
      </c>
      <c r="B848" s="4">
        <v>27</v>
      </c>
      <c r="C848" s="23">
        <f t="shared" si="30"/>
        <v>12.9</v>
      </c>
      <c r="D848" s="23">
        <f t="shared" si="31"/>
        <v>1015.8</v>
      </c>
    </row>
    <row r="849" spans="1:4">
      <c r="A849">
        <v>847</v>
      </c>
      <c r="B849" s="4">
        <v>27</v>
      </c>
      <c r="C849" s="23">
        <f t="shared" si="30"/>
        <v>12.883333333333333</v>
      </c>
      <c r="D849" s="23">
        <f t="shared" si="31"/>
        <v>1013.6</v>
      </c>
    </row>
    <row r="850" spans="1:4">
      <c r="A850">
        <v>848</v>
      </c>
      <c r="B850" s="4">
        <v>27</v>
      </c>
      <c r="C850" s="23">
        <f t="shared" si="30"/>
        <v>12.866666666666667</v>
      </c>
      <c r="D850" s="23">
        <f t="shared" si="31"/>
        <v>1011.4</v>
      </c>
    </row>
    <row r="851" spans="1:4">
      <c r="A851">
        <v>849</v>
      </c>
      <c r="B851" s="4">
        <v>27</v>
      </c>
      <c r="C851" s="23">
        <f t="shared" si="30"/>
        <v>12.85</v>
      </c>
      <c r="D851" s="23">
        <f t="shared" si="31"/>
        <v>1009.2</v>
      </c>
    </row>
    <row r="852" spans="1:4">
      <c r="A852">
        <v>850</v>
      </c>
      <c r="B852" s="4">
        <v>27</v>
      </c>
      <c r="C852" s="23">
        <f t="shared" si="30"/>
        <v>12.833333333333334</v>
      </c>
      <c r="D852" s="23">
        <f t="shared" si="31"/>
        <v>1007</v>
      </c>
    </row>
    <row r="853" spans="1:4">
      <c r="A853">
        <v>851</v>
      </c>
      <c r="B853" s="4">
        <v>27</v>
      </c>
      <c r="C853" s="23">
        <f t="shared" si="30"/>
        <v>12.816666666666666</v>
      </c>
      <c r="D853" s="23">
        <f t="shared" si="31"/>
        <v>1004.8</v>
      </c>
    </row>
    <row r="854" spans="1:4">
      <c r="A854">
        <v>852</v>
      </c>
      <c r="B854" s="4">
        <v>27</v>
      </c>
      <c r="C854" s="23">
        <f t="shared" si="30"/>
        <v>12.8</v>
      </c>
      <c r="D854" s="23">
        <f t="shared" si="31"/>
        <v>1002.6</v>
      </c>
    </row>
    <row r="855" spans="1:4">
      <c r="A855">
        <v>853</v>
      </c>
      <c r="B855" s="4">
        <v>27</v>
      </c>
      <c r="C855" s="23">
        <f t="shared" si="30"/>
        <v>12.783333333333333</v>
      </c>
      <c r="D855" s="23">
        <f t="shared" si="31"/>
        <v>1000.4</v>
      </c>
    </row>
    <row r="856" spans="1:4">
      <c r="A856">
        <v>854</v>
      </c>
      <c r="B856" s="4">
        <v>27</v>
      </c>
      <c r="C856" s="23">
        <f t="shared" si="30"/>
        <v>12.766666666666667</v>
      </c>
      <c r="D856" s="23">
        <f t="shared" si="31"/>
        <v>998.2</v>
      </c>
    </row>
    <row r="857" spans="1:4">
      <c r="A857">
        <v>855</v>
      </c>
      <c r="B857" s="4">
        <v>27</v>
      </c>
      <c r="C857" s="23">
        <f t="shared" si="30"/>
        <v>12.75</v>
      </c>
      <c r="D857" s="23">
        <f t="shared" si="31"/>
        <v>996</v>
      </c>
    </row>
    <row r="858" spans="1:4">
      <c r="A858">
        <v>856</v>
      </c>
      <c r="B858" s="4">
        <v>27</v>
      </c>
      <c r="C858" s="23">
        <f t="shared" si="30"/>
        <v>12.733333333333333</v>
      </c>
      <c r="D858" s="23">
        <f t="shared" si="31"/>
        <v>993.8</v>
      </c>
    </row>
    <row r="859" spans="1:4">
      <c r="A859">
        <v>857</v>
      </c>
      <c r="B859" s="4">
        <v>27</v>
      </c>
      <c r="C859" s="23">
        <f t="shared" si="30"/>
        <v>12.716666666666667</v>
      </c>
      <c r="D859" s="23">
        <f t="shared" si="31"/>
        <v>991.6</v>
      </c>
    </row>
    <row r="860" spans="1:4">
      <c r="A860">
        <v>858</v>
      </c>
      <c r="B860" s="4">
        <v>27</v>
      </c>
      <c r="C860" s="23">
        <f t="shared" si="30"/>
        <v>12.7</v>
      </c>
      <c r="D860" s="23">
        <f t="shared" si="31"/>
        <v>989.4</v>
      </c>
    </row>
    <row r="861" spans="1:4">
      <c r="A861">
        <v>859</v>
      </c>
      <c r="B861" s="4">
        <v>27</v>
      </c>
      <c r="C861" s="23">
        <f t="shared" si="30"/>
        <v>12.683333333333334</v>
      </c>
      <c r="D861" s="23">
        <f t="shared" si="31"/>
        <v>987.2</v>
      </c>
    </row>
    <row r="862" spans="1:4">
      <c r="A862">
        <v>860</v>
      </c>
      <c r="B862" s="4">
        <v>27</v>
      </c>
      <c r="C862" s="23">
        <f t="shared" si="30"/>
        <v>12.666666666666666</v>
      </c>
      <c r="D862" s="23">
        <f t="shared" si="31"/>
        <v>985</v>
      </c>
    </row>
    <row r="863" spans="1:4">
      <c r="A863">
        <v>861</v>
      </c>
      <c r="B863" s="4">
        <v>27</v>
      </c>
      <c r="C863" s="23">
        <f t="shared" si="30"/>
        <v>12.65</v>
      </c>
      <c r="D863" s="23">
        <f t="shared" si="31"/>
        <v>982.8</v>
      </c>
    </row>
    <row r="864" spans="1:4">
      <c r="A864">
        <v>862</v>
      </c>
      <c r="B864" s="4">
        <v>27</v>
      </c>
      <c r="C864" s="23">
        <f t="shared" si="30"/>
        <v>12.633333333333333</v>
      </c>
      <c r="D864" s="23">
        <f t="shared" si="31"/>
        <v>980.6</v>
      </c>
    </row>
    <row r="865" spans="1:4">
      <c r="A865">
        <v>863</v>
      </c>
      <c r="B865" s="4">
        <v>27</v>
      </c>
      <c r="C865" s="23">
        <f t="shared" si="30"/>
        <v>12.616666666666667</v>
      </c>
      <c r="D865" s="23">
        <f t="shared" si="31"/>
        <v>978.4</v>
      </c>
    </row>
    <row r="866" spans="1:4">
      <c r="A866">
        <v>864</v>
      </c>
      <c r="B866" s="4">
        <v>27</v>
      </c>
      <c r="C866" s="23">
        <f t="shared" si="30"/>
        <v>12.6</v>
      </c>
      <c r="D866" s="23">
        <f t="shared" si="31"/>
        <v>976.2</v>
      </c>
    </row>
    <row r="867" spans="1:4">
      <c r="A867">
        <v>865</v>
      </c>
      <c r="B867" s="4">
        <v>27</v>
      </c>
      <c r="C867" s="23">
        <f t="shared" si="30"/>
        <v>12.583333333333334</v>
      </c>
      <c r="D867" s="23">
        <f t="shared" si="31"/>
        <v>974</v>
      </c>
    </row>
    <row r="868" spans="1:4">
      <c r="A868">
        <v>866</v>
      </c>
      <c r="B868" s="4">
        <v>27</v>
      </c>
      <c r="C868" s="23">
        <f t="shared" si="30"/>
        <v>12.566666666666666</v>
      </c>
      <c r="D868" s="23">
        <f t="shared" si="31"/>
        <v>971.8</v>
      </c>
    </row>
    <row r="869" spans="1:4">
      <c r="A869">
        <v>867</v>
      </c>
      <c r="B869" s="4">
        <v>27</v>
      </c>
      <c r="C869" s="23">
        <f t="shared" si="30"/>
        <v>12.55</v>
      </c>
      <c r="D869" s="23">
        <f t="shared" si="31"/>
        <v>969.6</v>
      </c>
    </row>
    <row r="870" spans="1:4">
      <c r="A870">
        <v>868</v>
      </c>
      <c r="B870" s="4">
        <v>27</v>
      </c>
      <c r="C870" s="23">
        <f t="shared" si="30"/>
        <v>12.533333333333333</v>
      </c>
      <c r="D870" s="23">
        <f t="shared" si="31"/>
        <v>967.4</v>
      </c>
    </row>
    <row r="871" spans="1:4">
      <c r="A871">
        <v>869</v>
      </c>
      <c r="B871" s="4">
        <v>27</v>
      </c>
      <c r="C871" s="23">
        <f t="shared" si="30"/>
        <v>12.516666666666667</v>
      </c>
      <c r="D871" s="23">
        <f t="shared" si="31"/>
        <v>965.2</v>
      </c>
    </row>
    <row r="872" spans="1:4">
      <c r="A872">
        <v>870</v>
      </c>
      <c r="B872" s="4">
        <v>27</v>
      </c>
      <c r="C872" s="23">
        <f t="shared" si="30"/>
        <v>12.5</v>
      </c>
      <c r="D872" s="23">
        <f t="shared" si="31"/>
        <v>963</v>
      </c>
    </row>
    <row r="873" spans="1:4">
      <c r="A873">
        <v>871</v>
      </c>
      <c r="B873" s="4">
        <v>27</v>
      </c>
      <c r="C873" s="23">
        <f t="shared" si="30"/>
        <v>12.483333333333333</v>
      </c>
      <c r="D873" s="23">
        <f t="shared" si="31"/>
        <v>960.8</v>
      </c>
    </row>
    <row r="874" spans="1:4">
      <c r="A874">
        <v>872</v>
      </c>
      <c r="B874" s="4">
        <v>27</v>
      </c>
      <c r="C874" s="23">
        <f t="shared" si="30"/>
        <v>12.466666666666667</v>
      </c>
      <c r="D874" s="23">
        <f t="shared" si="31"/>
        <v>958.6</v>
      </c>
    </row>
    <row r="875" spans="1:4">
      <c r="A875">
        <v>873</v>
      </c>
      <c r="B875" s="4">
        <v>27</v>
      </c>
      <c r="C875" s="23">
        <f t="shared" si="30"/>
        <v>12.45</v>
      </c>
      <c r="D875" s="23">
        <f t="shared" si="31"/>
        <v>956.4</v>
      </c>
    </row>
    <row r="876" spans="1:4">
      <c r="A876">
        <v>874</v>
      </c>
      <c r="B876" s="4">
        <v>27</v>
      </c>
      <c r="C876" s="23">
        <f t="shared" si="30"/>
        <v>12.433333333333334</v>
      </c>
      <c r="D876" s="23">
        <f t="shared" si="31"/>
        <v>954.2</v>
      </c>
    </row>
    <row r="877" spans="1:4">
      <c r="A877">
        <v>875</v>
      </c>
      <c r="B877" s="4">
        <v>27</v>
      </c>
      <c r="C877" s="23">
        <f t="shared" si="30"/>
        <v>12.416666666666666</v>
      </c>
      <c r="D877" s="23">
        <f t="shared" si="31"/>
        <v>952</v>
      </c>
    </row>
    <row r="878" spans="1:4">
      <c r="A878">
        <v>876</v>
      </c>
      <c r="B878" s="4">
        <v>27</v>
      </c>
      <c r="C878" s="23">
        <f t="shared" si="30"/>
        <v>12.4</v>
      </c>
      <c r="D878" s="23">
        <f t="shared" si="31"/>
        <v>949.8</v>
      </c>
    </row>
    <row r="879" spans="1:4">
      <c r="A879">
        <v>877</v>
      </c>
      <c r="B879" s="4">
        <v>27</v>
      </c>
      <c r="C879" s="23">
        <f t="shared" si="30"/>
        <v>12.383333333333333</v>
      </c>
      <c r="D879" s="23">
        <f t="shared" si="31"/>
        <v>947.6</v>
      </c>
    </row>
    <row r="880" spans="1:4">
      <c r="A880">
        <v>878</v>
      </c>
      <c r="B880" s="4">
        <v>27</v>
      </c>
      <c r="C880" s="23">
        <f t="shared" si="30"/>
        <v>12.366666666666667</v>
      </c>
      <c r="D880" s="23">
        <f t="shared" si="31"/>
        <v>945.4</v>
      </c>
    </row>
    <row r="881" spans="1:4">
      <c r="A881">
        <v>879</v>
      </c>
      <c r="B881" s="4">
        <v>27</v>
      </c>
      <c r="C881" s="23">
        <f t="shared" si="30"/>
        <v>12.35</v>
      </c>
      <c r="D881" s="23">
        <f t="shared" si="31"/>
        <v>943.2</v>
      </c>
    </row>
    <row r="882" spans="1:4">
      <c r="A882">
        <v>880</v>
      </c>
      <c r="B882" s="4">
        <v>27</v>
      </c>
      <c r="C882" s="23">
        <f t="shared" si="30"/>
        <v>12.333333333333334</v>
      </c>
      <c r="D882" s="23">
        <f t="shared" si="31"/>
        <v>941</v>
      </c>
    </row>
    <row r="883" spans="1:4">
      <c r="A883">
        <v>881</v>
      </c>
      <c r="B883" s="4">
        <v>27</v>
      </c>
      <c r="C883" s="23">
        <f t="shared" si="30"/>
        <v>12.316666666666666</v>
      </c>
      <c r="D883" s="23">
        <f t="shared" si="31"/>
        <v>938.8</v>
      </c>
    </row>
    <row r="884" spans="1:4">
      <c r="A884">
        <v>882</v>
      </c>
      <c r="B884" s="4">
        <v>27</v>
      </c>
      <c r="C884" s="23">
        <f t="shared" si="30"/>
        <v>12.3</v>
      </c>
      <c r="D884" s="23">
        <f t="shared" si="31"/>
        <v>936.6</v>
      </c>
    </row>
    <row r="885" spans="1:4">
      <c r="A885">
        <v>883</v>
      </c>
      <c r="B885" s="4">
        <v>27</v>
      </c>
      <c r="C885" s="23">
        <f t="shared" si="30"/>
        <v>12.283333333333333</v>
      </c>
      <c r="D885" s="23">
        <f t="shared" si="31"/>
        <v>934.4</v>
      </c>
    </row>
    <row r="886" spans="1:4">
      <c r="A886">
        <v>884</v>
      </c>
      <c r="B886" s="4">
        <v>27</v>
      </c>
      <c r="C886" s="23">
        <f t="shared" si="30"/>
        <v>12.266666666666667</v>
      </c>
      <c r="D886" s="23">
        <f t="shared" si="31"/>
        <v>932.2</v>
      </c>
    </row>
    <row r="887" spans="1:4">
      <c r="A887">
        <v>885</v>
      </c>
      <c r="B887" s="4">
        <v>27</v>
      </c>
      <c r="C887" s="23">
        <f t="shared" si="30"/>
        <v>12.25</v>
      </c>
      <c r="D887" s="23">
        <f t="shared" si="31"/>
        <v>930</v>
      </c>
    </row>
    <row r="888" spans="1:4">
      <c r="A888">
        <v>886</v>
      </c>
      <c r="B888" s="4">
        <v>27</v>
      </c>
      <c r="C888" s="23">
        <f t="shared" si="30"/>
        <v>12.233333333333333</v>
      </c>
      <c r="D888" s="23">
        <f t="shared" si="31"/>
        <v>927.8</v>
      </c>
    </row>
    <row r="889" spans="1:4">
      <c r="A889">
        <v>887</v>
      </c>
      <c r="B889" s="4">
        <v>27</v>
      </c>
      <c r="C889" s="23">
        <f t="shared" si="30"/>
        <v>12.216666666666667</v>
      </c>
      <c r="D889" s="23">
        <f t="shared" si="31"/>
        <v>925.6</v>
      </c>
    </row>
    <row r="890" spans="1:4">
      <c r="A890">
        <v>888</v>
      </c>
      <c r="B890" s="4">
        <v>27</v>
      </c>
      <c r="C890" s="23">
        <f t="shared" si="30"/>
        <v>12.2</v>
      </c>
      <c r="D890" s="23">
        <f t="shared" si="31"/>
        <v>923.4</v>
      </c>
    </row>
    <row r="891" spans="1:4">
      <c r="A891">
        <v>889</v>
      </c>
      <c r="B891" s="4">
        <v>27</v>
      </c>
      <c r="C891" s="23">
        <f t="shared" si="30"/>
        <v>12.183333333333334</v>
      </c>
      <c r="D891" s="23">
        <f t="shared" si="31"/>
        <v>921.2</v>
      </c>
    </row>
    <row r="892" spans="1:4">
      <c r="A892">
        <v>890</v>
      </c>
      <c r="B892" s="4">
        <v>27</v>
      </c>
      <c r="C892" s="23">
        <f t="shared" si="30"/>
        <v>12.166666666666666</v>
      </c>
      <c r="D892" s="23">
        <f t="shared" si="31"/>
        <v>919</v>
      </c>
    </row>
    <row r="893" spans="1:4">
      <c r="A893">
        <v>891</v>
      </c>
      <c r="B893" s="4">
        <v>27</v>
      </c>
      <c r="C893" s="23">
        <f t="shared" si="30"/>
        <v>12.15</v>
      </c>
      <c r="D893" s="23">
        <f t="shared" si="31"/>
        <v>916.8</v>
      </c>
    </row>
    <row r="894" spans="1:4">
      <c r="A894">
        <v>892</v>
      </c>
      <c r="B894" s="4">
        <v>27</v>
      </c>
      <c r="C894" s="23">
        <f t="shared" si="30"/>
        <v>12.133333333333333</v>
      </c>
      <c r="D894" s="23">
        <f t="shared" si="31"/>
        <v>914.6</v>
      </c>
    </row>
    <row r="895" spans="1:4">
      <c r="A895">
        <v>893</v>
      </c>
      <c r="B895" s="4">
        <v>27</v>
      </c>
      <c r="C895" s="23">
        <f t="shared" si="30"/>
        <v>12.116666666666667</v>
      </c>
      <c r="D895" s="23">
        <f t="shared" si="31"/>
        <v>912.4</v>
      </c>
    </row>
    <row r="896" spans="1:4">
      <c r="A896">
        <v>894</v>
      </c>
      <c r="B896" s="4">
        <v>27</v>
      </c>
      <c r="C896" s="23">
        <f t="shared" si="30"/>
        <v>12.1</v>
      </c>
      <c r="D896" s="23">
        <f t="shared" si="31"/>
        <v>910.2</v>
      </c>
    </row>
    <row r="897" spans="1:4">
      <c r="A897">
        <v>895</v>
      </c>
      <c r="B897" s="4">
        <v>27</v>
      </c>
      <c r="C897" s="23">
        <f t="shared" si="30"/>
        <v>12.083333333333334</v>
      </c>
      <c r="D897" s="23">
        <f t="shared" si="31"/>
        <v>908</v>
      </c>
    </row>
    <row r="898" spans="1:4">
      <c r="A898">
        <v>896</v>
      </c>
      <c r="B898" s="4">
        <v>27</v>
      </c>
      <c r="C898" s="23">
        <f t="shared" si="30"/>
        <v>12.066666666666666</v>
      </c>
      <c r="D898" s="23">
        <f t="shared" si="31"/>
        <v>905.8</v>
      </c>
    </row>
    <row r="899" spans="1:4">
      <c r="A899">
        <v>897</v>
      </c>
      <c r="B899" s="4">
        <v>27</v>
      </c>
      <c r="C899" s="23">
        <f t="shared" si="30"/>
        <v>12.05</v>
      </c>
      <c r="D899" s="23">
        <f t="shared" si="31"/>
        <v>903.6</v>
      </c>
    </row>
    <row r="900" spans="1:4">
      <c r="A900">
        <v>898</v>
      </c>
      <c r="B900" s="4">
        <v>27</v>
      </c>
      <c r="C900" s="23">
        <f t="shared" si="30"/>
        <v>12.033333333333333</v>
      </c>
      <c r="D900" s="23">
        <f t="shared" si="31"/>
        <v>901.4</v>
      </c>
    </row>
    <row r="901" spans="1:4">
      <c r="A901">
        <v>899</v>
      </c>
      <c r="B901" s="4">
        <v>27</v>
      </c>
      <c r="C901" s="23">
        <f t="shared" si="30"/>
        <v>12.016666666666667</v>
      </c>
      <c r="D901" s="23">
        <f t="shared" si="31"/>
        <v>899.2</v>
      </c>
    </row>
    <row r="902" spans="1:4">
      <c r="A902">
        <v>900</v>
      </c>
      <c r="B902" s="4">
        <v>27</v>
      </c>
      <c r="C902" s="20">
        <v>12</v>
      </c>
      <c r="D902" s="5">
        <v>897</v>
      </c>
    </row>
    <row r="903" spans="1:4">
      <c r="A903">
        <v>901</v>
      </c>
      <c r="B903" s="23">
        <f>(A903-$A$902)*-1/60+27</f>
        <v>26.983333333333334</v>
      </c>
      <c r="C903" s="23">
        <f>(A903-$A$902)/60*-2+12</f>
        <v>11.966666666666667</v>
      </c>
      <c r="D903" s="23">
        <f>$D$902-(A903-$A$902)*($D$902-$D$962)/60</f>
        <v>893.7833333333333</v>
      </c>
    </row>
    <row r="904" spans="1:4">
      <c r="A904">
        <v>902</v>
      </c>
      <c r="B904" s="23">
        <f t="shared" ref="B904:B967" si="32">(A904-$A$902)*-1/60+27</f>
        <v>26.966666666666665</v>
      </c>
      <c r="C904" s="23">
        <f t="shared" ref="C904:C961" si="33">(A904-$A$902)/60*-2+12</f>
        <v>11.933333333333334</v>
      </c>
      <c r="D904" s="23">
        <f t="shared" ref="D904:D961" si="34">$D$902-(A904-$A$902)*($D$902-$D$962)/60</f>
        <v>890.56666666666672</v>
      </c>
    </row>
    <row r="905" spans="1:4">
      <c r="A905">
        <v>903</v>
      </c>
      <c r="B905" s="23">
        <f t="shared" si="32"/>
        <v>26.95</v>
      </c>
      <c r="C905" s="23">
        <f t="shared" si="33"/>
        <v>11.9</v>
      </c>
      <c r="D905" s="23">
        <f t="shared" si="34"/>
        <v>887.35</v>
      </c>
    </row>
    <row r="906" spans="1:4">
      <c r="A906">
        <v>904</v>
      </c>
      <c r="B906" s="23">
        <f t="shared" si="32"/>
        <v>26.933333333333334</v>
      </c>
      <c r="C906" s="23">
        <f t="shared" si="33"/>
        <v>11.866666666666667</v>
      </c>
      <c r="D906" s="23">
        <f t="shared" si="34"/>
        <v>884.13333333333333</v>
      </c>
    </row>
    <row r="907" spans="1:4">
      <c r="A907">
        <v>905</v>
      </c>
      <c r="B907" s="23">
        <f t="shared" si="32"/>
        <v>26.916666666666668</v>
      </c>
      <c r="C907" s="23">
        <f t="shared" si="33"/>
        <v>11.833333333333334</v>
      </c>
      <c r="D907" s="23">
        <f t="shared" si="34"/>
        <v>880.91666666666663</v>
      </c>
    </row>
    <row r="908" spans="1:4">
      <c r="A908">
        <v>906</v>
      </c>
      <c r="B908" s="23">
        <f t="shared" si="32"/>
        <v>26.9</v>
      </c>
      <c r="C908" s="23">
        <f t="shared" si="33"/>
        <v>11.8</v>
      </c>
      <c r="D908" s="23">
        <f t="shared" si="34"/>
        <v>877.7</v>
      </c>
    </row>
    <row r="909" spans="1:4">
      <c r="A909">
        <v>907</v>
      </c>
      <c r="B909" s="23">
        <f t="shared" si="32"/>
        <v>26.883333333333333</v>
      </c>
      <c r="C909" s="23">
        <f t="shared" si="33"/>
        <v>11.766666666666667</v>
      </c>
      <c r="D909" s="23">
        <f t="shared" si="34"/>
        <v>874.48333333333335</v>
      </c>
    </row>
    <row r="910" spans="1:4">
      <c r="A910">
        <v>908</v>
      </c>
      <c r="B910" s="23">
        <f t="shared" si="32"/>
        <v>26.866666666666667</v>
      </c>
      <c r="C910" s="23">
        <f t="shared" si="33"/>
        <v>11.733333333333333</v>
      </c>
      <c r="D910" s="23">
        <f t="shared" si="34"/>
        <v>871.26666666666665</v>
      </c>
    </row>
    <row r="911" spans="1:4">
      <c r="A911">
        <v>909</v>
      </c>
      <c r="B911" s="23">
        <f t="shared" si="32"/>
        <v>26.85</v>
      </c>
      <c r="C911" s="23">
        <f t="shared" si="33"/>
        <v>11.7</v>
      </c>
      <c r="D911" s="23">
        <f t="shared" si="34"/>
        <v>868.05</v>
      </c>
    </row>
    <row r="912" spans="1:4">
      <c r="A912">
        <v>910</v>
      </c>
      <c r="B912" s="23">
        <f t="shared" si="32"/>
        <v>26.833333333333332</v>
      </c>
      <c r="C912" s="23">
        <f t="shared" si="33"/>
        <v>11.666666666666666</v>
      </c>
      <c r="D912" s="23">
        <f t="shared" si="34"/>
        <v>864.83333333333337</v>
      </c>
    </row>
    <row r="913" spans="1:4">
      <c r="A913">
        <v>911</v>
      </c>
      <c r="B913" s="23">
        <f t="shared" si="32"/>
        <v>26.816666666666666</v>
      </c>
      <c r="C913" s="23">
        <f t="shared" si="33"/>
        <v>11.633333333333333</v>
      </c>
      <c r="D913" s="23">
        <f t="shared" si="34"/>
        <v>861.61666666666667</v>
      </c>
    </row>
    <row r="914" spans="1:4">
      <c r="A914">
        <v>912</v>
      </c>
      <c r="B914" s="23">
        <f t="shared" si="32"/>
        <v>26.8</v>
      </c>
      <c r="C914" s="23">
        <f t="shared" si="33"/>
        <v>11.6</v>
      </c>
      <c r="D914" s="23">
        <f t="shared" si="34"/>
        <v>858.4</v>
      </c>
    </row>
    <row r="915" spans="1:4">
      <c r="A915">
        <v>913</v>
      </c>
      <c r="B915" s="23">
        <f t="shared" si="32"/>
        <v>26.783333333333335</v>
      </c>
      <c r="C915" s="23">
        <f t="shared" si="33"/>
        <v>11.566666666666666</v>
      </c>
      <c r="D915" s="23">
        <f t="shared" si="34"/>
        <v>855.18333333333328</v>
      </c>
    </row>
    <row r="916" spans="1:4">
      <c r="A916">
        <v>914</v>
      </c>
      <c r="B916" s="23">
        <f t="shared" si="32"/>
        <v>26.766666666666666</v>
      </c>
      <c r="C916" s="23">
        <f t="shared" si="33"/>
        <v>11.533333333333333</v>
      </c>
      <c r="D916" s="23">
        <f t="shared" si="34"/>
        <v>851.9666666666667</v>
      </c>
    </row>
    <row r="917" spans="1:4">
      <c r="A917">
        <v>915</v>
      </c>
      <c r="B917" s="23">
        <f t="shared" si="32"/>
        <v>26.75</v>
      </c>
      <c r="C917" s="23">
        <f t="shared" si="33"/>
        <v>11.5</v>
      </c>
      <c r="D917" s="23">
        <f t="shared" si="34"/>
        <v>848.75</v>
      </c>
    </row>
    <row r="918" spans="1:4">
      <c r="A918">
        <v>916</v>
      </c>
      <c r="B918" s="23">
        <f t="shared" si="32"/>
        <v>26.733333333333334</v>
      </c>
      <c r="C918" s="23">
        <f t="shared" si="33"/>
        <v>11.466666666666667</v>
      </c>
      <c r="D918" s="23">
        <f t="shared" si="34"/>
        <v>845.5333333333333</v>
      </c>
    </row>
    <row r="919" spans="1:4">
      <c r="A919">
        <v>917</v>
      </c>
      <c r="B919" s="23">
        <f t="shared" si="32"/>
        <v>26.716666666666665</v>
      </c>
      <c r="C919" s="23">
        <f t="shared" si="33"/>
        <v>11.433333333333334</v>
      </c>
      <c r="D919" s="23">
        <f t="shared" si="34"/>
        <v>842.31666666666672</v>
      </c>
    </row>
    <row r="920" spans="1:4">
      <c r="A920">
        <v>918</v>
      </c>
      <c r="B920" s="23">
        <f t="shared" si="32"/>
        <v>26.7</v>
      </c>
      <c r="C920" s="23">
        <f t="shared" si="33"/>
        <v>11.4</v>
      </c>
      <c r="D920" s="23">
        <f t="shared" si="34"/>
        <v>839.1</v>
      </c>
    </row>
    <row r="921" spans="1:4">
      <c r="A921">
        <v>919</v>
      </c>
      <c r="B921" s="23">
        <f t="shared" si="32"/>
        <v>26.683333333333334</v>
      </c>
      <c r="C921" s="23">
        <f t="shared" si="33"/>
        <v>11.366666666666667</v>
      </c>
      <c r="D921" s="23">
        <f t="shared" si="34"/>
        <v>835.88333333333333</v>
      </c>
    </row>
    <row r="922" spans="1:4">
      <c r="A922">
        <v>920</v>
      </c>
      <c r="B922" s="23">
        <f t="shared" si="32"/>
        <v>26.666666666666668</v>
      </c>
      <c r="C922" s="23">
        <f t="shared" si="33"/>
        <v>11.333333333333334</v>
      </c>
      <c r="D922" s="23">
        <f t="shared" si="34"/>
        <v>832.66666666666663</v>
      </c>
    </row>
    <row r="923" spans="1:4">
      <c r="A923">
        <v>921</v>
      </c>
      <c r="B923" s="23">
        <f t="shared" si="32"/>
        <v>26.65</v>
      </c>
      <c r="C923" s="23">
        <f t="shared" si="33"/>
        <v>11.3</v>
      </c>
      <c r="D923" s="23">
        <f t="shared" si="34"/>
        <v>829.45</v>
      </c>
    </row>
    <row r="924" spans="1:4">
      <c r="A924">
        <v>922</v>
      </c>
      <c r="B924" s="23">
        <f t="shared" si="32"/>
        <v>26.633333333333333</v>
      </c>
      <c r="C924" s="23">
        <f t="shared" si="33"/>
        <v>11.266666666666667</v>
      </c>
      <c r="D924" s="23">
        <f t="shared" si="34"/>
        <v>826.23333333333335</v>
      </c>
    </row>
    <row r="925" spans="1:4">
      <c r="A925">
        <v>923</v>
      </c>
      <c r="B925" s="23">
        <f t="shared" si="32"/>
        <v>26.616666666666667</v>
      </c>
      <c r="C925" s="23">
        <f t="shared" si="33"/>
        <v>11.233333333333333</v>
      </c>
      <c r="D925" s="23">
        <f t="shared" si="34"/>
        <v>823.01666666666665</v>
      </c>
    </row>
    <row r="926" spans="1:4">
      <c r="A926">
        <v>924</v>
      </c>
      <c r="B926" s="23">
        <f t="shared" si="32"/>
        <v>26.6</v>
      </c>
      <c r="C926" s="23">
        <f t="shared" si="33"/>
        <v>11.2</v>
      </c>
      <c r="D926" s="23">
        <f t="shared" si="34"/>
        <v>819.8</v>
      </c>
    </row>
    <row r="927" spans="1:4">
      <c r="A927">
        <v>925</v>
      </c>
      <c r="B927" s="23">
        <f t="shared" si="32"/>
        <v>26.583333333333332</v>
      </c>
      <c r="C927" s="23">
        <f t="shared" si="33"/>
        <v>11.166666666666666</v>
      </c>
      <c r="D927" s="23">
        <f t="shared" si="34"/>
        <v>816.58333333333337</v>
      </c>
    </row>
    <row r="928" spans="1:4">
      <c r="A928">
        <v>926</v>
      </c>
      <c r="B928" s="23">
        <f t="shared" si="32"/>
        <v>26.566666666666666</v>
      </c>
      <c r="C928" s="23">
        <f t="shared" si="33"/>
        <v>11.133333333333333</v>
      </c>
      <c r="D928" s="23">
        <f t="shared" si="34"/>
        <v>813.36666666666667</v>
      </c>
    </row>
    <row r="929" spans="1:4">
      <c r="A929">
        <v>927</v>
      </c>
      <c r="B929" s="23">
        <f t="shared" si="32"/>
        <v>26.55</v>
      </c>
      <c r="C929" s="23">
        <f t="shared" si="33"/>
        <v>11.1</v>
      </c>
      <c r="D929" s="23">
        <f t="shared" si="34"/>
        <v>810.15</v>
      </c>
    </row>
    <row r="930" spans="1:4">
      <c r="A930">
        <v>928</v>
      </c>
      <c r="B930" s="23">
        <f t="shared" si="32"/>
        <v>26.533333333333335</v>
      </c>
      <c r="C930" s="23">
        <f t="shared" si="33"/>
        <v>11.066666666666666</v>
      </c>
      <c r="D930" s="23">
        <f t="shared" si="34"/>
        <v>806.93333333333339</v>
      </c>
    </row>
    <row r="931" spans="1:4">
      <c r="A931">
        <v>929</v>
      </c>
      <c r="B931" s="23">
        <f t="shared" si="32"/>
        <v>26.516666666666666</v>
      </c>
      <c r="C931" s="23">
        <f t="shared" si="33"/>
        <v>11.033333333333333</v>
      </c>
      <c r="D931" s="23">
        <f t="shared" si="34"/>
        <v>803.7166666666667</v>
      </c>
    </row>
    <row r="932" spans="1:4">
      <c r="A932">
        <v>930</v>
      </c>
      <c r="B932" s="23">
        <f t="shared" si="32"/>
        <v>26.5</v>
      </c>
      <c r="C932" s="23">
        <f t="shared" si="33"/>
        <v>11</v>
      </c>
      <c r="D932" s="23">
        <f t="shared" si="34"/>
        <v>800.5</v>
      </c>
    </row>
    <row r="933" spans="1:4">
      <c r="A933">
        <v>931</v>
      </c>
      <c r="B933" s="23">
        <f t="shared" si="32"/>
        <v>26.483333333333334</v>
      </c>
      <c r="C933" s="23">
        <f t="shared" si="33"/>
        <v>10.966666666666667</v>
      </c>
      <c r="D933" s="23">
        <f t="shared" si="34"/>
        <v>797.2833333333333</v>
      </c>
    </row>
    <row r="934" spans="1:4">
      <c r="A934">
        <v>932</v>
      </c>
      <c r="B934" s="23">
        <f t="shared" si="32"/>
        <v>26.466666666666665</v>
      </c>
      <c r="C934" s="23">
        <f t="shared" si="33"/>
        <v>10.933333333333334</v>
      </c>
      <c r="D934" s="23">
        <f t="shared" si="34"/>
        <v>794.06666666666661</v>
      </c>
    </row>
    <row r="935" spans="1:4">
      <c r="A935">
        <v>933</v>
      </c>
      <c r="B935" s="23">
        <f t="shared" si="32"/>
        <v>26.45</v>
      </c>
      <c r="C935" s="23">
        <f t="shared" si="33"/>
        <v>10.9</v>
      </c>
      <c r="D935" s="23">
        <f t="shared" si="34"/>
        <v>790.85</v>
      </c>
    </row>
    <row r="936" spans="1:4">
      <c r="A936">
        <v>934</v>
      </c>
      <c r="B936" s="23">
        <f t="shared" si="32"/>
        <v>26.433333333333334</v>
      </c>
      <c r="C936" s="23">
        <f t="shared" si="33"/>
        <v>10.866666666666667</v>
      </c>
      <c r="D936" s="23">
        <f t="shared" si="34"/>
        <v>787.63333333333333</v>
      </c>
    </row>
    <row r="937" spans="1:4">
      <c r="A937">
        <v>935</v>
      </c>
      <c r="B937" s="23">
        <f t="shared" si="32"/>
        <v>26.416666666666668</v>
      </c>
      <c r="C937" s="23">
        <f t="shared" si="33"/>
        <v>10.833333333333334</v>
      </c>
      <c r="D937" s="23">
        <f t="shared" si="34"/>
        <v>784.41666666666663</v>
      </c>
    </row>
    <row r="938" spans="1:4">
      <c r="A938">
        <v>936</v>
      </c>
      <c r="B938" s="23">
        <f t="shared" si="32"/>
        <v>26.4</v>
      </c>
      <c r="C938" s="23">
        <f t="shared" si="33"/>
        <v>10.8</v>
      </c>
      <c r="D938" s="23">
        <f t="shared" si="34"/>
        <v>781.2</v>
      </c>
    </row>
    <row r="939" spans="1:4">
      <c r="A939">
        <v>937</v>
      </c>
      <c r="B939" s="23">
        <f t="shared" si="32"/>
        <v>26.383333333333333</v>
      </c>
      <c r="C939" s="23">
        <f t="shared" si="33"/>
        <v>10.766666666666666</v>
      </c>
      <c r="D939" s="23">
        <f t="shared" si="34"/>
        <v>777.98333333333335</v>
      </c>
    </row>
    <row r="940" spans="1:4">
      <c r="A940">
        <v>938</v>
      </c>
      <c r="B940" s="23">
        <f t="shared" si="32"/>
        <v>26.366666666666667</v>
      </c>
      <c r="C940" s="23">
        <f t="shared" si="33"/>
        <v>10.733333333333334</v>
      </c>
      <c r="D940" s="23">
        <f t="shared" si="34"/>
        <v>774.76666666666665</v>
      </c>
    </row>
    <row r="941" spans="1:4">
      <c r="A941">
        <v>939</v>
      </c>
      <c r="B941" s="23">
        <f t="shared" si="32"/>
        <v>26.35</v>
      </c>
      <c r="C941" s="23">
        <f t="shared" si="33"/>
        <v>10.7</v>
      </c>
      <c r="D941" s="23">
        <f t="shared" si="34"/>
        <v>771.55</v>
      </c>
    </row>
    <row r="942" spans="1:4">
      <c r="A942">
        <v>940</v>
      </c>
      <c r="B942" s="23">
        <f t="shared" si="32"/>
        <v>26.333333333333332</v>
      </c>
      <c r="C942" s="23">
        <f t="shared" si="33"/>
        <v>10.666666666666666</v>
      </c>
      <c r="D942" s="23">
        <f t="shared" si="34"/>
        <v>768.33333333333337</v>
      </c>
    </row>
    <row r="943" spans="1:4">
      <c r="A943">
        <v>941</v>
      </c>
      <c r="B943" s="23">
        <f t="shared" si="32"/>
        <v>26.316666666666666</v>
      </c>
      <c r="C943" s="23">
        <f t="shared" si="33"/>
        <v>10.633333333333333</v>
      </c>
      <c r="D943" s="23">
        <f t="shared" si="34"/>
        <v>765.11666666666667</v>
      </c>
    </row>
    <row r="944" spans="1:4">
      <c r="A944">
        <v>942</v>
      </c>
      <c r="B944" s="23">
        <f t="shared" si="32"/>
        <v>26.3</v>
      </c>
      <c r="C944" s="23">
        <f t="shared" si="33"/>
        <v>10.6</v>
      </c>
      <c r="D944" s="23">
        <f t="shared" si="34"/>
        <v>761.9</v>
      </c>
    </row>
    <row r="945" spans="1:4">
      <c r="A945">
        <v>943</v>
      </c>
      <c r="B945" s="23">
        <f t="shared" si="32"/>
        <v>26.283333333333335</v>
      </c>
      <c r="C945" s="23">
        <f t="shared" si="33"/>
        <v>10.566666666666666</v>
      </c>
      <c r="D945" s="23">
        <f t="shared" si="34"/>
        <v>758.68333333333339</v>
      </c>
    </row>
    <row r="946" spans="1:4">
      <c r="A946">
        <v>944</v>
      </c>
      <c r="B946" s="23">
        <f t="shared" si="32"/>
        <v>26.266666666666666</v>
      </c>
      <c r="C946" s="23">
        <f t="shared" si="33"/>
        <v>10.533333333333333</v>
      </c>
      <c r="D946" s="23">
        <f t="shared" si="34"/>
        <v>755.4666666666667</v>
      </c>
    </row>
    <row r="947" spans="1:4">
      <c r="A947">
        <v>945</v>
      </c>
      <c r="B947" s="23">
        <f t="shared" si="32"/>
        <v>26.25</v>
      </c>
      <c r="C947" s="23">
        <f t="shared" si="33"/>
        <v>10.5</v>
      </c>
      <c r="D947" s="23">
        <f t="shared" si="34"/>
        <v>752.25</v>
      </c>
    </row>
    <row r="948" spans="1:4">
      <c r="A948">
        <v>946</v>
      </c>
      <c r="B948" s="23">
        <f t="shared" si="32"/>
        <v>26.233333333333334</v>
      </c>
      <c r="C948" s="23">
        <f t="shared" si="33"/>
        <v>10.466666666666667</v>
      </c>
      <c r="D948" s="23">
        <f t="shared" si="34"/>
        <v>749.0333333333333</v>
      </c>
    </row>
    <row r="949" spans="1:4">
      <c r="A949">
        <v>947</v>
      </c>
      <c r="B949" s="23">
        <f t="shared" si="32"/>
        <v>26.216666666666665</v>
      </c>
      <c r="C949" s="23">
        <f t="shared" si="33"/>
        <v>10.433333333333334</v>
      </c>
      <c r="D949" s="23">
        <f t="shared" si="34"/>
        <v>745.81666666666661</v>
      </c>
    </row>
    <row r="950" spans="1:4">
      <c r="A950">
        <v>948</v>
      </c>
      <c r="B950" s="23">
        <f t="shared" si="32"/>
        <v>26.2</v>
      </c>
      <c r="C950" s="23">
        <f t="shared" si="33"/>
        <v>10.4</v>
      </c>
      <c r="D950" s="23">
        <f t="shared" si="34"/>
        <v>742.6</v>
      </c>
    </row>
    <row r="951" spans="1:4">
      <c r="A951">
        <v>949</v>
      </c>
      <c r="B951" s="23">
        <f t="shared" si="32"/>
        <v>26.183333333333334</v>
      </c>
      <c r="C951" s="23">
        <f t="shared" si="33"/>
        <v>10.366666666666667</v>
      </c>
      <c r="D951" s="23">
        <f t="shared" si="34"/>
        <v>739.38333333333333</v>
      </c>
    </row>
    <row r="952" spans="1:4">
      <c r="A952">
        <v>950</v>
      </c>
      <c r="B952" s="23">
        <f t="shared" si="32"/>
        <v>26.166666666666668</v>
      </c>
      <c r="C952" s="23">
        <f t="shared" si="33"/>
        <v>10.333333333333334</v>
      </c>
      <c r="D952" s="23">
        <f t="shared" si="34"/>
        <v>736.16666666666663</v>
      </c>
    </row>
    <row r="953" spans="1:4">
      <c r="A953">
        <v>951</v>
      </c>
      <c r="B953" s="23">
        <f t="shared" si="32"/>
        <v>26.15</v>
      </c>
      <c r="C953" s="23">
        <f t="shared" si="33"/>
        <v>10.3</v>
      </c>
      <c r="D953" s="23">
        <f t="shared" si="34"/>
        <v>732.95</v>
      </c>
    </row>
    <row r="954" spans="1:4">
      <c r="A954">
        <v>952</v>
      </c>
      <c r="B954" s="23">
        <f t="shared" si="32"/>
        <v>26.133333333333333</v>
      </c>
      <c r="C954" s="23">
        <f t="shared" si="33"/>
        <v>10.266666666666666</v>
      </c>
      <c r="D954" s="23">
        <f t="shared" si="34"/>
        <v>729.73333333333335</v>
      </c>
    </row>
    <row r="955" spans="1:4">
      <c r="A955">
        <v>953</v>
      </c>
      <c r="B955" s="23">
        <f t="shared" si="32"/>
        <v>26.116666666666667</v>
      </c>
      <c r="C955" s="23">
        <f t="shared" si="33"/>
        <v>10.233333333333334</v>
      </c>
      <c r="D955" s="23">
        <f t="shared" si="34"/>
        <v>726.51666666666665</v>
      </c>
    </row>
    <row r="956" spans="1:4">
      <c r="A956">
        <v>954</v>
      </c>
      <c r="B956" s="23">
        <f t="shared" si="32"/>
        <v>26.1</v>
      </c>
      <c r="C956" s="23">
        <f t="shared" si="33"/>
        <v>10.199999999999999</v>
      </c>
      <c r="D956" s="23">
        <f t="shared" si="34"/>
        <v>723.3</v>
      </c>
    </row>
    <row r="957" spans="1:4">
      <c r="A957">
        <v>955</v>
      </c>
      <c r="B957" s="23">
        <f t="shared" si="32"/>
        <v>26.083333333333332</v>
      </c>
      <c r="C957" s="23">
        <f t="shared" si="33"/>
        <v>10.166666666666666</v>
      </c>
      <c r="D957" s="23">
        <f t="shared" si="34"/>
        <v>720.08333333333337</v>
      </c>
    </row>
    <row r="958" spans="1:4">
      <c r="A958">
        <v>956</v>
      </c>
      <c r="B958" s="23">
        <f t="shared" si="32"/>
        <v>26.066666666666666</v>
      </c>
      <c r="C958" s="23">
        <f t="shared" si="33"/>
        <v>10.133333333333333</v>
      </c>
      <c r="D958" s="23">
        <f t="shared" si="34"/>
        <v>716.86666666666667</v>
      </c>
    </row>
    <row r="959" spans="1:4">
      <c r="A959">
        <v>957</v>
      </c>
      <c r="B959" s="23">
        <f t="shared" si="32"/>
        <v>26.05</v>
      </c>
      <c r="C959" s="23">
        <f t="shared" si="33"/>
        <v>10.1</v>
      </c>
      <c r="D959" s="23">
        <f t="shared" si="34"/>
        <v>713.65</v>
      </c>
    </row>
    <row r="960" spans="1:4">
      <c r="A960">
        <v>958</v>
      </c>
      <c r="B960" s="23">
        <f t="shared" si="32"/>
        <v>26.033333333333335</v>
      </c>
      <c r="C960" s="23">
        <f t="shared" si="33"/>
        <v>10.066666666666666</v>
      </c>
      <c r="D960" s="23">
        <f t="shared" si="34"/>
        <v>710.43333333333339</v>
      </c>
    </row>
    <row r="961" spans="1:4">
      <c r="A961">
        <v>959</v>
      </c>
      <c r="B961" s="23">
        <f t="shared" si="32"/>
        <v>26.016666666666666</v>
      </c>
      <c r="C961" s="23">
        <f t="shared" si="33"/>
        <v>10.033333333333333</v>
      </c>
      <c r="D961" s="23">
        <f t="shared" si="34"/>
        <v>707.2166666666667</v>
      </c>
    </row>
    <row r="962" spans="1:4">
      <c r="A962">
        <v>960</v>
      </c>
      <c r="B962" s="23">
        <f t="shared" si="32"/>
        <v>26</v>
      </c>
      <c r="C962" s="20">
        <v>10</v>
      </c>
      <c r="D962" s="5">
        <v>704</v>
      </c>
    </row>
    <row r="963" spans="1:4">
      <c r="A963">
        <v>961</v>
      </c>
      <c r="B963" s="23">
        <f t="shared" si="32"/>
        <v>25.983333333333334</v>
      </c>
      <c r="C963" s="23">
        <f>(A963-$A$962)*-4/60+10</f>
        <v>9.9333333333333336</v>
      </c>
      <c r="D963" s="23">
        <f>$D$962-(A963-$A$962)*($D$962-$D$1022)/60</f>
        <v>699.93333333333328</v>
      </c>
    </row>
    <row r="964" spans="1:4">
      <c r="A964">
        <v>962</v>
      </c>
      <c r="B964" s="23">
        <f t="shared" si="32"/>
        <v>25.966666666666665</v>
      </c>
      <c r="C964" s="23">
        <f t="shared" ref="C964:C1022" si="35">(A964-$A$962)*-4/60+10</f>
        <v>9.8666666666666671</v>
      </c>
      <c r="D964" s="23">
        <f t="shared" ref="D964:D1021" si="36">$D$962-(A964-$A$962)*($D$962-$D$1022)/60</f>
        <v>695.86666666666667</v>
      </c>
    </row>
    <row r="965" spans="1:4">
      <c r="A965">
        <v>963</v>
      </c>
      <c r="B965" s="23">
        <f t="shared" si="32"/>
        <v>25.95</v>
      </c>
      <c r="C965" s="23">
        <f t="shared" si="35"/>
        <v>9.8000000000000007</v>
      </c>
      <c r="D965" s="23">
        <f t="shared" si="36"/>
        <v>691.8</v>
      </c>
    </row>
    <row r="966" spans="1:4">
      <c r="A966">
        <v>964</v>
      </c>
      <c r="B966" s="23">
        <f t="shared" si="32"/>
        <v>25.933333333333334</v>
      </c>
      <c r="C966" s="23">
        <f t="shared" si="35"/>
        <v>9.7333333333333325</v>
      </c>
      <c r="D966" s="23">
        <f t="shared" si="36"/>
        <v>687.73333333333335</v>
      </c>
    </row>
    <row r="967" spans="1:4">
      <c r="A967">
        <v>965</v>
      </c>
      <c r="B967" s="23">
        <f t="shared" si="32"/>
        <v>25.916666666666668</v>
      </c>
      <c r="C967" s="23">
        <f t="shared" si="35"/>
        <v>9.6666666666666661</v>
      </c>
      <c r="D967" s="23">
        <f t="shared" si="36"/>
        <v>683.66666666666663</v>
      </c>
    </row>
    <row r="968" spans="1:4">
      <c r="A968">
        <v>966</v>
      </c>
      <c r="B968" s="23">
        <f t="shared" ref="B968:B1021" si="37">(A968-$A$902)*-1/60+27</f>
        <v>25.9</v>
      </c>
      <c r="C968" s="23">
        <f t="shared" si="35"/>
        <v>9.6</v>
      </c>
      <c r="D968" s="23">
        <f t="shared" si="36"/>
        <v>679.6</v>
      </c>
    </row>
    <row r="969" spans="1:4">
      <c r="A969">
        <v>967</v>
      </c>
      <c r="B969" s="23">
        <f t="shared" si="37"/>
        <v>25.883333333333333</v>
      </c>
      <c r="C969" s="23">
        <f t="shared" si="35"/>
        <v>9.5333333333333332</v>
      </c>
      <c r="D969" s="23">
        <f t="shared" si="36"/>
        <v>675.5333333333333</v>
      </c>
    </row>
    <row r="970" spans="1:4">
      <c r="A970">
        <v>968</v>
      </c>
      <c r="B970" s="23">
        <f t="shared" si="37"/>
        <v>25.866666666666667</v>
      </c>
      <c r="C970" s="23">
        <f t="shared" si="35"/>
        <v>9.4666666666666668</v>
      </c>
      <c r="D970" s="23">
        <f t="shared" si="36"/>
        <v>671.4666666666667</v>
      </c>
    </row>
    <row r="971" spans="1:4">
      <c r="A971">
        <v>969</v>
      </c>
      <c r="B971" s="23">
        <f t="shared" si="37"/>
        <v>25.85</v>
      </c>
      <c r="C971" s="23">
        <f t="shared" si="35"/>
        <v>9.4</v>
      </c>
      <c r="D971" s="23">
        <f t="shared" si="36"/>
        <v>667.4</v>
      </c>
    </row>
    <row r="972" spans="1:4">
      <c r="A972">
        <v>970</v>
      </c>
      <c r="B972" s="23">
        <f t="shared" si="37"/>
        <v>25.833333333333332</v>
      </c>
      <c r="C972" s="23">
        <f t="shared" si="35"/>
        <v>9.3333333333333339</v>
      </c>
      <c r="D972" s="23">
        <f t="shared" si="36"/>
        <v>663.33333333333337</v>
      </c>
    </row>
    <row r="973" spans="1:4">
      <c r="A973">
        <v>971</v>
      </c>
      <c r="B973" s="23">
        <f t="shared" si="37"/>
        <v>25.816666666666666</v>
      </c>
      <c r="C973" s="23">
        <f t="shared" si="35"/>
        <v>9.2666666666666675</v>
      </c>
      <c r="D973" s="23">
        <f t="shared" si="36"/>
        <v>659.26666666666665</v>
      </c>
    </row>
    <row r="974" spans="1:4">
      <c r="A974">
        <v>972</v>
      </c>
      <c r="B974" s="23">
        <f t="shared" si="37"/>
        <v>25.8</v>
      </c>
      <c r="C974" s="23">
        <f t="shared" si="35"/>
        <v>9.1999999999999993</v>
      </c>
      <c r="D974" s="23">
        <f t="shared" si="36"/>
        <v>655.20000000000005</v>
      </c>
    </row>
    <row r="975" spans="1:4">
      <c r="A975">
        <v>973</v>
      </c>
      <c r="B975" s="23">
        <f t="shared" si="37"/>
        <v>25.783333333333335</v>
      </c>
      <c r="C975" s="23">
        <f t="shared" si="35"/>
        <v>9.1333333333333329</v>
      </c>
      <c r="D975" s="23">
        <f t="shared" si="36"/>
        <v>651.13333333333333</v>
      </c>
    </row>
    <row r="976" spans="1:4">
      <c r="A976">
        <v>974</v>
      </c>
      <c r="B976" s="23">
        <f t="shared" si="37"/>
        <v>25.766666666666666</v>
      </c>
      <c r="C976" s="23">
        <f t="shared" si="35"/>
        <v>9.0666666666666664</v>
      </c>
      <c r="D976" s="23">
        <f t="shared" si="36"/>
        <v>647.06666666666672</v>
      </c>
    </row>
    <row r="977" spans="1:4">
      <c r="A977">
        <v>975</v>
      </c>
      <c r="B977" s="23">
        <f t="shared" si="37"/>
        <v>25.75</v>
      </c>
      <c r="C977" s="23">
        <f t="shared" si="35"/>
        <v>9</v>
      </c>
      <c r="D977" s="23">
        <f t="shared" si="36"/>
        <v>643</v>
      </c>
    </row>
    <row r="978" spans="1:4">
      <c r="A978">
        <v>976</v>
      </c>
      <c r="B978" s="23">
        <f t="shared" si="37"/>
        <v>25.733333333333334</v>
      </c>
      <c r="C978" s="23">
        <f t="shared" si="35"/>
        <v>8.9333333333333336</v>
      </c>
      <c r="D978" s="23">
        <f t="shared" si="36"/>
        <v>638.93333333333339</v>
      </c>
    </row>
    <row r="979" spans="1:4">
      <c r="A979">
        <v>977</v>
      </c>
      <c r="B979" s="23">
        <f t="shared" si="37"/>
        <v>25.716666666666665</v>
      </c>
      <c r="C979" s="23">
        <f t="shared" si="35"/>
        <v>8.8666666666666671</v>
      </c>
      <c r="D979" s="23">
        <f t="shared" si="36"/>
        <v>634.86666666666667</v>
      </c>
    </row>
    <row r="980" spans="1:4">
      <c r="A980">
        <v>978</v>
      </c>
      <c r="B980" s="23">
        <f t="shared" si="37"/>
        <v>25.7</v>
      </c>
      <c r="C980" s="23">
        <f t="shared" si="35"/>
        <v>8.8000000000000007</v>
      </c>
      <c r="D980" s="23">
        <f t="shared" si="36"/>
        <v>630.79999999999995</v>
      </c>
    </row>
    <row r="981" spans="1:4">
      <c r="A981">
        <v>979</v>
      </c>
      <c r="B981" s="23">
        <f t="shared" si="37"/>
        <v>25.683333333333334</v>
      </c>
      <c r="C981" s="23">
        <f t="shared" si="35"/>
        <v>8.7333333333333343</v>
      </c>
      <c r="D981" s="23">
        <f t="shared" si="36"/>
        <v>626.73333333333335</v>
      </c>
    </row>
    <row r="982" spans="1:4">
      <c r="A982">
        <v>980</v>
      </c>
      <c r="B982" s="23">
        <f t="shared" si="37"/>
        <v>25.666666666666668</v>
      </c>
      <c r="C982" s="23">
        <f t="shared" si="35"/>
        <v>8.6666666666666661</v>
      </c>
      <c r="D982" s="23">
        <f t="shared" si="36"/>
        <v>622.66666666666663</v>
      </c>
    </row>
    <row r="983" spans="1:4">
      <c r="A983">
        <v>981</v>
      </c>
      <c r="B983" s="23">
        <f t="shared" si="37"/>
        <v>25.65</v>
      </c>
      <c r="C983" s="23">
        <f t="shared" si="35"/>
        <v>8.6</v>
      </c>
      <c r="D983" s="23">
        <f t="shared" si="36"/>
        <v>618.6</v>
      </c>
    </row>
    <row r="984" spans="1:4">
      <c r="A984">
        <v>982</v>
      </c>
      <c r="B984" s="23">
        <f t="shared" si="37"/>
        <v>25.633333333333333</v>
      </c>
      <c r="C984" s="23">
        <f t="shared" si="35"/>
        <v>8.5333333333333332</v>
      </c>
      <c r="D984" s="23">
        <f t="shared" si="36"/>
        <v>614.5333333333333</v>
      </c>
    </row>
    <row r="985" spans="1:4">
      <c r="A985">
        <v>983</v>
      </c>
      <c r="B985" s="23">
        <f t="shared" si="37"/>
        <v>25.616666666666667</v>
      </c>
      <c r="C985" s="23">
        <f t="shared" si="35"/>
        <v>8.4666666666666668</v>
      </c>
      <c r="D985" s="23">
        <f t="shared" si="36"/>
        <v>610.4666666666667</v>
      </c>
    </row>
    <row r="986" spans="1:4">
      <c r="A986">
        <v>984</v>
      </c>
      <c r="B986" s="23">
        <f t="shared" si="37"/>
        <v>25.6</v>
      </c>
      <c r="C986" s="23">
        <f t="shared" si="35"/>
        <v>8.4</v>
      </c>
      <c r="D986" s="23">
        <f t="shared" si="36"/>
        <v>606.4</v>
      </c>
    </row>
    <row r="987" spans="1:4">
      <c r="A987">
        <v>985</v>
      </c>
      <c r="B987" s="23">
        <f t="shared" si="37"/>
        <v>25.583333333333332</v>
      </c>
      <c r="C987" s="23">
        <f t="shared" si="35"/>
        <v>8.3333333333333339</v>
      </c>
      <c r="D987" s="23">
        <f t="shared" si="36"/>
        <v>602.33333333333337</v>
      </c>
    </row>
    <row r="988" spans="1:4">
      <c r="A988">
        <v>986</v>
      </c>
      <c r="B988" s="23">
        <f t="shared" si="37"/>
        <v>25.566666666666666</v>
      </c>
      <c r="C988" s="23">
        <f t="shared" si="35"/>
        <v>8.2666666666666657</v>
      </c>
      <c r="D988" s="23">
        <f t="shared" si="36"/>
        <v>598.26666666666665</v>
      </c>
    </row>
    <row r="989" spans="1:4">
      <c r="A989">
        <v>987</v>
      </c>
      <c r="B989" s="23">
        <f t="shared" si="37"/>
        <v>25.55</v>
      </c>
      <c r="C989" s="23">
        <f t="shared" si="35"/>
        <v>8.1999999999999993</v>
      </c>
      <c r="D989" s="23">
        <f t="shared" si="36"/>
        <v>594.20000000000005</v>
      </c>
    </row>
    <row r="990" spans="1:4">
      <c r="A990">
        <v>988</v>
      </c>
      <c r="B990" s="23">
        <f t="shared" si="37"/>
        <v>25.533333333333335</v>
      </c>
      <c r="C990" s="23">
        <f t="shared" si="35"/>
        <v>8.1333333333333329</v>
      </c>
      <c r="D990" s="23">
        <f t="shared" si="36"/>
        <v>590.13333333333333</v>
      </c>
    </row>
    <row r="991" spans="1:4">
      <c r="A991">
        <v>989</v>
      </c>
      <c r="B991" s="23">
        <f t="shared" si="37"/>
        <v>25.516666666666666</v>
      </c>
      <c r="C991" s="23">
        <f t="shared" si="35"/>
        <v>8.0666666666666664</v>
      </c>
      <c r="D991" s="23">
        <f t="shared" si="36"/>
        <v>586.06666666666661</v>
      </c>
    </row>
    <row r="992" spans="1:4">
      <c r="A992">
        <v>990</v>
      </c>
      <c r="B992" s="23">
        <f t="shared" si="37"/>
        <v>25.5</v>
      </c>
      <c r="C992" s="23">
        <f t="shared" si="35"/>
        <v>8</v>
      </c>
      <c r="D992" s="23">
        <f t="shared" si="36"/>
        <v>582</v>
      </c>
    </row>
    <row r="993" spans="1:4">
      <c r="A993">
        <v>991</v>
      </c>
      <c r="B993" s="23">
        <f t="shared" si="37"/>
        <v>25.483333333333334</v>
      </c>
      <c r="C993" s="23">
        <f t="shared" si="35"/>
        <v>7.9333333333333336</v>
      </c>
      <c r="D993" s="23">
        <f t="shared" si="36"/>
        <v>577.93333333333339</v>
      </c>
    </row>
    <row r="994" spans="1:4">
      <c r="A994">
        <v>992</v>
      </c>
      <c r="B994" s="23">
        <f t="shared" si="37"/>
        <v>25.466666666666665</v>
      </c>
      <c r="C994" s="23">
        <f t="shared" si="35"/>
        <v>7.8666666666666671</v>
      </c>
      <c r="D994" s="23">
        <f t="shared" si="36"/>
        <v>573.86666666666667</v>
      </c>
    </row>
    <row r="995" spans="1:4">
      <c r="A995">
        <v>993</v>
      </c>
      <c r="B995" s="23">
        <f t="shared" si="37"/>
        <v>25.45</v>
      </c>
      <c r="C995" s="23">
        <f t="shared" si="35"/>
        <v>7.8</v>
      </c>
      <c r="D995" s="23">
        <f t="shared" si="36"/>
        <v>569.79999999999995</v>
      </c>
    </row>
    <row r="996" spans="1:4">
      <c r="A996">
        <v>994</v>
      </c>
      <c r="B996" s="23">
        <f t="shared" si="37"/>
        <v>25.433333333333334</v>
      </c>
      <c r="C996" s="23">
        <f t="shared" si="35"/>
        <v>7.7333333333333334</v>
      </c>
      <c r="D996" s="23">
        <f t="shared" si="36"/>
        <v>565.73333333333335</v>
      </c>
    </row>
    <row r="997" spans="1:4">
      <c r="A997">
        <v>995</v>
      </c>
      <c r="B997" s="23">
        <f t="shared" si="37"/>
        <v>25.416666666666668</v>
      </c>
      <c r="C997" s="23">
        <f t="shared" si="35"/>
        <v>7.6666666666666661</v>
      </c>
      <c r="D997" s="23">
        <f t="shared" si="36"/>
        <v>561.66666666666663</v>
      </c>
    </row>
    <row r="998" spans="1:4">
      <c r="A998">
        <v>996</v>
      </c>
      <c r="B998" s="23">
        <f t="shared" si="37"/>
        <v>25.4</v>
      </c>
      <c r="C998" s="23">
        <f t="shared" si="35"/>
        <v>7.6</v>
      </c>
      <c r="D998" s="23">
        <f t="shared" si="36"/>
        <v>557.6</v>
      </c>
    </row>
    <row r="999" spans="1:4">
      <c r="A999">
        <v>997</v>
      </c>
      <c r="B999" s="23">
        <f t="shared" si="37"/>
        <v>25.383333333333333</v>
      </c>
      <c r="C999" s="23">
        <f t="shared" si="35"/>
        <v>7.5333333333333332</v>
      </c>
      <c r="D999" s="23">
        <f t="shared" si="36"/>
        <v>553.5333333333333</v>
      </c>
    </row>
    <row r="1000" spans="1:4">
      <c r="A1000">
        <v>998</v>
      </c>
      <c r="B1000" s="23">
        <f t="shared" si="37"/>
        <v>25.366666666666667</v>
      </c>
      <c r="C1000" s="23">
        <f t="shared" si="35"/>
        <v>7.4666666666666668</v>
      </c>
      <c r="D1000" s="23">
        <f t="shared" si="36"/>
        <v>549.4666666666667</v>
      </c>
    </row>
    <row r="1001" spans="1:4">
      <c r="A1001">
        <v>999</v>
      </c>
      <c r="B1001" s="23">
        <f t="shared" si="37"/>
        <v>25.35</v>
      </c>
      <c r="C1001" s="23">
        <f t="shared" si="35"/>
        <v>7.4</v>
      </c>
      <c r="D1001" s="23">
        <f t="shared" si="36"/>
        <v>545.4</v>
      </c>
    </row>
    <row r="1002" spans="1:4">
      <c r="A1002">
        <v>1000</v>
      </c>
      <c r="B1002" s="23">
        <f t="shared" si="37"/>
        <v>25.333333333333332</v>
      </c>
      <c r="C1002" s="23">
        <f t="shared" si="35"/>
        <v>7.3333333333333339</v>
      </c>
      <c r="D1002" s="23">
        <f t="shared" si="36"/>
        <v>541.33333333333337</v>
      </c>
    </row>
    <row r="1003" spans="1:4">
      <c r="A1003">
        <v>1001</v>
      </c>
      <c r="B1003" s="23">
        <f t="shared" si="37"/>
        <v>25.316666666666666</v>
      </c>
      <c r="C1003" s="23">
        <f t="shared" si="35"/>
        <v>7.2666666666666666</v>
      </c>
      <c r="D1003" s="23">
        <f t="shared" si="36"/>
        <v>537.26666666666665</v>
      </c>
    </row>
    <row r="1004" spans="1:4">
      <c r="A1004">
        <v>1002</v>
      </c>
      <c r="B1004" s="23">
        <f t="shared" si="37"/>
        <v>25.3</v>
      </c>
      <c r="C1004" s="23">
        <f t="shared" si="35"/>
        <v>7.2</v>
      </c>
      <c r="D1004" s="23">
        <f t="shared" si="36"/>
        <v>533.20000000000005</v>
      </c>
    </row>
    <row r="1005" spans="1:4">
      <c r="A1005">
        <v>1003</v>
      </c>
      <c r="B1005" s="23">
        <f t="shared" si="37"/>
        <v>25.283333333333335</v>
      </c>
      <c r="C1005" s="23">
        <f t="shared" si="35"/>
        <v>7.1333333333333329</v>
      </c>
      <c r="D1005" s="23">
        <f t="shared" si="36"/>
        <v>529.13333333333333</v>
      </c>
    </row>
    <row r="1006" spans="1:4">
      <c r="A1006">
        <v>1004</v>
      </c>
      <c r="B1006" s="23">
        <f t="shared" si="37"/>
        <v>25.266666666666666</v>
      </c>
      <c r="C1006" s="23">
        <f t="shared" si="35"/>
        <v>7.0666666666666664</v>
      </c>
      <c r="D1006" s="23">
        <f t="shared" si="36"/>
        <v>525.06666666666661</v>
      </c>
    </row>
    <row r="1007" spans="1:4">
      <c r="A1007">
        <v>1005</v>
      </c>
      <c r="B1007" s="23">
        <f t="shared" si="37"/>
        <v>25.25</v>
      </c>
      <c r="C1007" s="23">
        <f t="shared" si="35"/>
        <v>7</v>
      </c>
      <c r="D1007" s="23">
        <f t="shared" si="36"/>
        <v>521</v>
      </c>
    </row>
    <row r="1008" spans="1:4">
      <c r="A1008">
        <v>1006</v>
      </c>
      <c r="B1008" s="23">
        <f t="shared" si="37"/>
        <v>25.233333333333334</v>
      </c>
      <c r="C1008" s="23">
        <f t="shared" si="35"/>
        <v>6.9333333333333336</v>
      </c>
      <c r="D1008" s="23">
        <f t="shared" si="36"/>
        <v>516.93333333333339</v>
      </c>
    </row>
    <row r="1009" spans="1:4">
      <c r="A1009">
        <v>1007</v>
      </c>
      <c r="B1009" s="23">
        <f t="shared" si="37"/>
        <v>25.216666666666665</v>
      </c>
      <c r="C1009" s="23">
        <f t="shared" si="35"/>
        <v>6.8666666666666671</v>
      </c>
      <c r="D1009" s="23">
        <f t="shared" si="36"/>
        <v>512.86666666666667</v>
      </c>
    </row>
    <row r="1010" spans="1:4">
      <c r="A1010">
        <v>1008</v>
      </c>
      <c r="B1010" s="23">
        <f t="shared" si="37"/>
        <v>25.2</v>
      </c>
      <c r="C1010" s="23">
        <f t="shared" si="35"/>
        <v>6.8</v>
      </c>
      <c r="D1010" s="23">
        <f t="shared" si="36"/>
        <v>508.8</v>
      </c>
    </row>
    <row r="1011" spans="1:4">
      <c r="A1011">
        <v>1009</v>
      </c>
      <c r="B1011" s="23">
        <f t="shared" si="37"/>
        <v>25.183333333333334</v>
      </c>
      <c r="C1011" s="23">
        <f t="shared" si="35"/>
        <v>6.7333333333333334</v>
      </c>
      <c r="D1011" s="23">
        <f t="shared" si="36"/>
        <v>504.73333333333335</v>
      </c>
    </row>
    <row r="1012" spans="1:4">
      <c r="A1012">
        <v>1010</v>
      </c>
      <c r="B1012" s="23">
        <f t="shared" si="37"/>
        <v>25.166666666666668</v>
      </c>
      <c r="C1012" s="23">
        <f t="shared" si="35"/>
        <v>6.6666666666666661</v>
      </c>
      <c r="D1012" s="23">
        <f t="shared" si="36"/>
        <v>500.66666666666663</v>
      </c>
    </row>
    <row r="1013" spans="1:4">
      <c r="A1013">
        <v>1011</v>
      </c>
      <c r="B1013" s="23">
        <f t="shared" si="37"/>
        <v>25.15</v>
      </c>
      <c r="C1013" s="23">
        <f t="shared" si="35"/>
        <v>6.6</v>
      </c>
      <c r="D1013" s="23">
        <f t="shared" si="36"/>
        <v>496.6</v>
      </c>
    </row>
    <row r="1014" spans="1:4">
      <c r="A1014">
        <v>1012</v>
      </c>
      <c r="B1014" s="23">
        <f t="shared" si="37"/>
        <v>25.133333333333333</v>
      </c>
      <c r="C1014" s="23">
        <f t="shared" si="35"/>
        <v>6.5333333333333332</v>
      </c>
      <c r="D1014" s="23">
        <f t="shared" si="36"/>
        <v>492.5333333333333</v>
      </c>
    </row>
    <row r="1015" spans="1:4">
      <c r="A1015">
        <v>1013</v>
      </c>
      <c r="B1015" s="23">
        <f t="shared" si="37"/>
        <v>25.116666666666667</v>
      </c>
      <c r="C1015" s="23">
        <f t="shared" si="35"/>
        <v>6.4666666666666668</v>
      </c>
      <c r="D1015" s="23">
        <f t="shared" si="36"/>
        <v>488.4666666666667</v>
      </c>
    </row>
    <row r="1016" spans="1:4">
      <c r="A1016">
        <v>1014</v>
      </c>
      <c r="B1016" s="23">
        <f t="shared" si="37"/>
        <v>25.1</v>
      </c>
      <c r="C1016" s="23">
        <f t="shared" si="35"/>
        <v>6.4</v>
      </c>
      <c r="D1016" s="23">
        <f t="shared" si="36"/>
        <v>484.4</v>
      </c>
    </row>
    <row r="1017" spans="1:4">
      <c r="A1017">
        <v>1015</v>
      </c>
      <c r="B1017" s="23">
        <f t="shared" si="37"/>
        <v>25.083333333333332</v>
      </c>
      <c r="C1017" s="23">
        <f t="shared" si="35"/>
        <v>6.3333333333333339</v>
      </c>
      <c r="D1017" s="23">
        <f t="shared" si="36"/>
        <v>480.33333333333337</v>
      </c>
    </row>
    <row r="1018" spans="1:4">
      <c r="A1018">
        <v>1016</v>
      </c>
      <c r="B1018" s="23">
        <f t="shared" si="37"/>
        <v>25.066666666666666</v>
      </c>
      <c r="C1018" s="23">
        <f t="shared" si="35"/>
        <v>6.2666666666666666</v>
      </c>
      <c r="D1018" s="23">
        <f t="shared" si="36"/>
        <v>476.26666666666665</v>
      </c>
    </row>
    <row r="1019" spans="1:4">
      <c r="A1019">
        <v>1017</v>
      </c>
      <c r="B1019" s="23">
        <f t="shared" si="37"/>
        <v>25.05</v>
      </c>
      <c r="C1019" s="23">
        <f t="shared" si="35"/>
        <v>6.2</v>
      </c>
      <c r="D1019" s="23">
        <f t="shared" si="36"/>
        <v>472.2</v>
      </c>
    </row>
    <row r="1020" spans="1:4">
      <c r="A1020">
        <v>1018</v>
      </c>
      <c r="B1020" s="23">
        <f t="shared" si="37"/>
        <v>25.033333333333335</v>
      </c>
      <c r="C1020" s="23">
        <f t="shared" si="35"/>
        <v>6.1333333333333329</v>
      </c>
      <c r="D1020" s="23">
        <f t="shared" si="36"/>
        <v>468.13333333333333</v>
      </c>
    </row>
    <row r="1021" spans="1:4">
      <c r="A1021">
        <v>1019</v>
      </c>
      <c r="B1021" s="23">
        <f t="shared" si="37"/>
        <v>25.016666666666666</v>
      </c>
      <c r="C1021" s="23">
        <f t="shared" si="35"/>
        <v>6.0666666666666664</v>
      </c>
      <c r="D1021" s="23">
        <f t="shared" si="36"/>
        <v>464.06666666666666</v>
      </c>
    </row>
    <row r="1022" spans="1:4">
      <c r="A1022">
        <v>1020</v>
      </c>
      <c r="B1022" s="4">
        <v>25</v>
      </c>
      <c r="C1022" s="23">
        <f t="shared" si="35"/>
        <v>6</v>
      </c>
      <c r="D1022" s="5">
        <v>460</v>
      </c>
    </row>
    <row r="1023" spans="1:4">
      <c r="A1023">
        <v>1021</v>
      </c>
      <c r="B1023" s="23">
        <f>(A1023-$A$1022)*-2/60+25</f>
        <v>24.966666666666665</v>
      </c>
      <c r="C1023" s="23">
        <f>(A1023-$A$1022)*-3/60+6</f>
        <v>5.95</v>
      </c>
      <c r="D1023" s="23">
        <f>$D$1022-(A1023-$A$1022)*($D$1022-$D$1082)/60</f>
        <v>455.73333333333335</v>
      </c>
    </row>
    <row r="1024" spans="1:4">
      <c r="A1024">
        <v>1022</v>
      </c>
      <c r="B1024" s="23">
        <f t="shared" ref="B1024:B1081" si="38">(A1024-$A$1022)*-2/60+25</f>
        <v>24.933333333333334</v>
      </c>
      <c r="C1024" s="23">
        <f t="shared" ref="C1024:C1081" si="39">(A1024-$A$1022)*-3/60+6</f>
        <v>5.9</v>
      </c>
      <c r="D1024" s="23">
        <f t="shared" ref="D1024:D1081" si="40">$D$1022-(A1024-$A$1022)*($D$1022-$D$1082)/60</f>
        <v>451.46666666666664</v>
      </c>
    </row>
    <row r="1025" spans="1:4">
      <c r="A1025">
        <v>1023</v>
      </c>
      <c r="B1025" s="23">
        <f t="shared" si="38"/>
        <v>24.9</v>
      </c>
      <c r="C1025" s="23">
        <f t="shared" si="39"/>
        <v>5.85</v>
      </c>
      <c r="D1025" s="23">
        <f t="shared" si="40"/>
        <v>447.2</v>
      </c>
    </row>
    <row r="1026" spans="1:4">
      <c r="A1026">
        <v>1024</v>
      </c>
      <c r="B1026" s="23">
        <f t="shared" si="38"/>
        <v>24.866666666666667</v>
      </c>
      <c r="C1026" s="23">
        <f t="shared" si="39"/>
        <v>5.8</v>
      </c>
      <c r="D1026" s="23">
        <f t="shared" si="40"/>
        <v>442.93333333333334</v>
      </c>
    </row>
    <row r="1027" spans="1:4">
      <c r="A1027">
        <v>1025</v>
      </c>
      <c r="B1027" s="23">
        <f t="shared" si="38"/>
        <v>24.833333333333332</v>
      </c>
      <c r="C1027" s="23">
        <f t="shared" si="39"/>
        <v>5.75</v>
      </c>
      <c r="D1027" s="23">
        <f t="shared" si="40"/>
        <v>438.66666666666669</v>
      </c>
    </row>
    <row r="1028" spans="1:4">
      <c r="A1028">
        <v>1026</v>
      </c>
      <c r="B1028" s="23">
        <f t="shared" si="38"/>
        <v>24.8</v>
      </c>
      <c r="C1028" s="23">
        <f t="shared" si="39"/>
        <v>5.7</v>
      </c>
      <c r="D1028" s="23">
        <f t="shared" si="40"/>
        <v>434.4</v>
      </c>
    </row>
    <row r="1029" spans="1:4">
      <c r="A1029">
        <v>1027</v>
      </c>
      <c r="B1029" s="23">
        <f t="shared" si="38"/>
        <v>24.766666666666666</v>
      </c>
      <c r="C1029" s="23">
        <f t="shared" si="39"/>
        <v>5.65</v>
      </c>
      <c r="D1029" s="23">
        <f t="shared" si="40"/>
        <v>430.13333333333333</v>
      </c>
    </row>
    <row r="1030" spans="1:4">
      <c r="A1030">
        <v>1028</v>
      </c>
      <c r="B1030" s="23">
        <f t="shared" si="38"/>
        <v>24.733333333333334</v>
      </c>
      <c r="C1030" s="23">
        <f t="shared" si="39"/>
        <v>5.6</v>
      </c>
      <c r="D1030" s="23">
        <f t="shared" si="40"/>
        <v>425.86666666666667</v>
      </c>
    </row>
    <row r="1031" spans="1:4">
      <c r="A1031">
        <v>1029</v>
      </c>
      <c r="B1031" s="23">
        <f t="shared" si="38"/>
        <v>24.7</v>
      </c>
      <c r="C1031" s="23">
        <f t="shared" si="39"/>
        <v>5.55</v>
      </c>
      <c r="D1031" s="23">
        <f t="shared" si="40"/>
        <v>421.6</v>
      </c>
    </row>
    <row r="1032" spans="1:4">
      <c r="A1032">
        <v>1030</v>
      </c>
      <c r="B1032" s="23">
        <f t="shared" si="38"/>
        <v>24.666666666666668</v>
      </c>
      <c r="C1032" s="23">
        <f t="shared" si="39"/>
        <v>5.5</v>
      </c>
      <c r="D1032" s="23">
        <f t="shared" si="40"/>
        <v>417.33333333333331</v>
      </c>
    </row>
    <row r="1033" spans="1:4">
      <c r="A1033">
        <v>1031</v>
      </c>
      <c r="B1033" s="23">
        <f t="shared" si="38"/>
        <v>24.633333333333333</v>
      </c>
      <c r="C1033" s="23">
        <f t="shared" si="39"/>
        <v>5.45</v>
      </c>
      <c r="D1033" s="23">
        <f t="shared" si="40"/>
        <v>413.06666666666666</v>
      </c>
    </row>
    <row r="1034" spans="1:4">
      <c r="A1034">
        <v>1032</v>
      </c>
      <c r="B1034" s="23">
        <f t="shared" si="38"/>
        <v>24.6</v>
      </c>
      <c r="C1034" s="23">
        <f t="shared" si="39"/>
        <v>5.4</v>
      </c>
      <c r="D1034" s="23">
        <f t="shared" si="40"/>
        <v>408.8</v>
      </c>
    </row>
    <row r="1035" spans="1:4">
      <c r="A1035">
        <v>1033</v>
      </c>
      <c r="B1035" s="23">
        <f t="shared" si="38"/>
        <v>24.566666666666666</v>
      </c>
      <c r="C1035" s="23">
        <f t="shared" si="39"/>
        <v>5.35</v>
      </c>
      <c r="D1035" s="23">
        <f t="shared" si="40"/>
        <v>404.5333333333333</v>
      </c>
    </row>
    <row r="1036" spans="1:4">
      <c r="A1036">
        <v>1034</v>
      </c>
      <c r="B1036" s="23">
        <f t="shared" si="38"/>
        <v>24.533333333333335</v>
      </c>
      <c r="C1036" s="23">
        <f t="shared" si="39"/>
        <v>5.3</v>
      </c>
      <c r="D1036" s="23">
        <f t="shared" si="40"/>
        <v>400.26666666666665</v>
      </c>
    </row>
    <row r="1037" spans="1:4">
      <c r="A1037">
        <v>1035</v>
      </c>
      <c r="B1037" s="23">
        <f t="shared" si="38"/>
        <v>24.5</v>
      </c>
      <c r="C1037" s="23">
        <f t="shared" si="39"/>
        <v>5.25</v>
      </c>
      <c r="D1037" s="23">
        <f t="shared" si="40"/>
        <v>396</v>
      </c>
    </row>
    <row r="1038" spans="1:4">
      <c r="A1038">
        <v>1036</v>
      </c>
      <c r="B1038" s="23">
        <f t="shared" si="38"/>
        <v>24.466666666666665</v>
      </c>
      <c r="C1038" s="23">
        <f t="shared" si="39"/>
        <v>5.2</v>
      </c>
      <c r="D1038" s="23">
        <f t="shared" si="40"/>
        <v>391.73333333333335</v>
      </c>
    </row>
    <row r="1039" spans="1:4">
      <c r="A1039">
        <v>1037</v>
      </c>
      <c r="B1039" s="23">
        <f t="shared" si="38"/>
        <v>24.433333333333334</v>
      </c>
      <c r="C1039" s="23">
        <f t="shared" si="39"/>
        <v>5.15</v>
      </c>
      <c r="D1039" s="23">
        <f t="shared" si="40"/>
        <v>387.4666666666667</v>
      </c>
    </row>
    <row r="1040" spans="1:4">
      <c r="A1040">
        <v>1038</v>
      </c>
      <c r="B1040" s="23">
        <f t="shared" si="38"/>
        <v>24.4</v>
      </c>
      <c r="C1040" s="23">
        <f t="shared" si="39"/>
        <v>5.0999999999999996</v>
      </c>
      <c r="D1040" s="23">
        <f t="shared" si="40"/>
        <v>383.2</v>
      </c>
    </row>
    <row r="1041" spans="1:4">
      <c r="A1041">
        <v>1039</v>
      </c>
      <c r="B1041" s="23">
        <f t="shared" si="38"/>
        <v>24.366666666666667</v>
      </c>
      <c r="C1041" s="23">
        <f t="shared" si="39"/>
        <v>5.05</v>
      </c>
      <c r="D1041" s="23">
        <f t="shared" si="40"/>
        <v>378.93333333333334</v>
      </c>
    </row>
    <row r="1042" spans="1:4">
      <c r="A1042">
        <v>1040</v>
      </c>
      <c r="B1042" s="23">
        <f t="shared" si="38"/>
        <v>24.333333333333332</v>
      </c>
      <c r="C1042" s="23">
        <f t="shared" si="39"/>
        <v>5</v>
      </c>
      <c r="D1042" s="23">
        <f t="shared" si="40"/>
        <v>374.66666666666669</v>
      </c>
    </row>
    <row r="1043" spans="1:4">
      <c r="A1043">
        <v>1041</v>
      </c>
      <c r="B1043" s="23">
        <f t="shared" si="38"/>
        <v>24.3</v>
      </c>
      <c r="C1043" s="23">
        <f t="shared" si="39"/>
        <v>4.95</v>
      </c>
      <c r="D1043" s="23">
        <f t="shared" si="40"/>
        <v>370.4</v>
      </c>
    </row>
    <row r="1044" spans="1:4">
      <c r="A1044">
        <v>1042</v>
      </c>
      <c r="B1044" s="23">
        <f t="shared" si="38"/>
        <v>24.266666666666666</v>
      </c>
      <c r="C1044" s="23">
        <f t="shared" si="39"/>
        <v>4.9000000000000004</v>
      </c>
      <c r="D1044" s="23">
        <f t="shared" si="40"/>
        <v>366.13333333333333</v>
      </c>
    </row>
    <row r="1045" spans="1:4">
      <c r="A1045">
        <v>1043</v>
      </c>
      <c r="B1045" s="23">
        <f t="shared" si="38"/>
        <v>24.233333333333334</v>
      </c>
      <c r="C1045" s="23">
        <f t="shared" si="39"/>
        <v>4.8499999999999996</v>
      </c>
      <c r="D1045" s="23">
        <f t="shared" si="40"/>
        <v>361.86666666666667</v>
      </c>
    </row>
    <row r="1046" spans="1:4">
      <c r="A1046">
        <v>1044</v>
      </c>
      <c r="B1046" s="23">
        <f t="shared" si="38"/>
        <v>24.2</v>
      </c>
      <c r="C1046" s="23">
        <f t="shared" si="39"/>
        <v>4.8</v>
      </c>
      <c r="D1046" s="23">
        <f t="shared" si="40"/>
        <v>357.6</v>
      </c>
    </row>
    <row r="1047" spans="1:4">
      <c r="A1047">
        <v>1045</v>
      </c>
      <c r="B1047" s="23">
        <f t="shared" si="38"/>
        <v>24.166666666666668</v>
      </c>
      <c r="C1047" s="23">
        <f t="shared" si="39"/>
        <v>4.75</v>
      </c>
      <c r="D1047" s="23">
        <f t="shared" si="40"/>
        <v>353.33333333333331</v>
      </c>
    </row>
    <row r="1048" spans="1:4">
      <c r="A1048">
        <v>1046</v>
      </c>
      <c r="B1048" s="23">
        <f t="shared" si="38"/>
        <v>24.133333333333333</v>
      </c>
      <c r="C1048" s="23">
        <f t="shared" si="39"/>
        <v>4.7</v>
      </c>
      <c r="D1048" s="23">
        <f t="shared" si="40"/>
        <v>349.06666666666666</v>
      </c>
    </row>
    <row r="1049" spans="1:4">
      <c r="A1049">
        <v>1047</v>
      </c>
      <c r="B1049" s="23">
        <f t="shared" si="38"/>
        <v>24.1</v>
      </c>
      <c r="C1049" s="23">
        <f t="shared" si="39"/>
        <v>4.6500000000000004</v>
      </c>
      <c r="D1049" s="23">
        <f t="shared" si="40"/>
        <v>344.8</v>
      </c>
    </row>
    <row r="1050" spans="1:4">
      <c r="A1050">
        <v>1048</v>
      </c>
      <c r="B1050" s="23">
        <f t="shared" si="38"/>
        <v>24.066666666666666</v>
      </c>
      <c r="C1050" s="23">
        <f t="shared" si="39"/>
        <v>4.5999999999999996</v>
      </c>
      <c r="D1050" s="23">
        <f t="shared" si="40"/>
        <v>340.5333333333333</v>
      </c>
    </row>
    <row r="1051" spans="1:4">
      <c r="A1051">
        <v>1049</v>
      </c>
      <c r="B1051" s="23">
        <f t="shared" si="38"/>
        <v>24.033333333333335</v>
      </c>
      <c r="C1051" s="23">
        <f t="shared" si="39"/>
        <v>4.55</v>
      </c>
      <c r="D1051" s="23">
        <f t="shared" si="40"/>
        <v>336.26666666666665</v>
      </c>
    </row>
    <row r="1052" spans="1:4">
      <c r="A1052">
        <v>1050</v>
      </c>
      <c r="B1052" s="23">
        <f t="shared" si="38"/>
        <v>24</v>
      </c>
      <c r="C1052" s="23">
        <f t="shared" si="39"/>
        <v>4.5</v>
      </c>
      <c r="D1052" s="23">
        <f t="shared" si="40"/>
        <v>332</v>
      </c>
    </row>
    <row r="1053" spans="1:4">
      <c r="A1053">
        <v>1051</v>
      </c>
      <c r="B1053" s="23">
        <f t="shared" si="38"/>
        <v>23.966666666666665</v>
      </c>
      <c r="C1053" s="23">
        <f t="shared" si="39"/>
        <v>4.45</v>
      </c>
      <c r="D1053" s="23">
        <f t="shared" si="40"/>
        <v>327.73333333333335</v>
      </c>
    </row>
    <row r="1054" spans="1:4">
      <c r="A1054">
        <v>1052</v>
      </c>
      <c r="B1054" s="23">
        <f t="shared" si="38"/>
        <v>23.933333333333334</v>
      </c>
      <c r="C1054" s="23">
        <f t="shared" si="39"/>
        <v>4.4000000000000004</v>
      </c>
      <c r="D1054" s="23">
        <f t="shared" si="40"/>
        <v>323.4666666666667</v>
      </c>
    </row>
    <row r="1055" spans="1:4">
      <c r="A1055">
        <v>1053</v>
      </c>
      <c r="B1055" s="23">
        <f t="shared" si="38"/>
        <v>23.9</v>
      </c>
      <c r="C1055" s="23">
        <f t="shared" si="39"/>
        <v>4.3499999999999996</v>
      </c>
      <c r="D1055" s="23">
        <f t="shared" si="40"/>
        <v>319.2</v>
      </c>
    </row>
    <row r="1056" spans="1:4">
      <c r="A1056">
        <v>1054</v>
      </c>
      <c r="B1056" s="23">
        <f t="shared" si="38"/>
        <v>23.866666666666667</v>
      </c>
      <c r="C1056" s="23">
        <f t="shared" si="39"/>
        <v>4.3</v>
      </c>
      <c r="D1056" s="23">
        <f t="shared" si="40"/>
        <v>314.93333333333334</v>
      </c>
    </row>
    <row r="1057" spans="1:4">
      <c r="A1057">
        <v>1055</v>
      </c>
      <c r="B1057" s="23">
        <f t="shared" si="38"/>
        <v>23.833333333333332</v>
      </c>
      <c r="C1057" s="23">
        <f t="shared" si="39"/>
        <v>4.25</v>
      </c>
      <c r="D1057" s="23">
        <f t="shared" si="40"/>
        <v>310.66666666666663</v>
      </c>
    </row>
    <row r="1058" spans="1:4">
      <c r="A1058">
        <v>1056</v>
      </c>
      <c r="B1058" s="23">
        <f t="shared" si="38"/>
        <v>23.8</v>
      </c>
      <c r="C1058" s="23">
        <f t="shared" si="39"/>
        <v>4.2</v>
      </c>
      <c r="D1058" s="23">
        <f t="shared" si="40"/>
        <v>306.39999999999998</v>
      </c>
    </row>
    <row r="1059" spans="1:4">
      <c r="A1059">
        <v>1057</v>
      </c>
      <c r="B1059" s="23">
        <f t="shared" si="38"/>
        <v>23.766666666666666</v>
      </c>
      <c r="C1059" s="23">
        <f t="shared" si="39"/>
        <v>4.1500000000000004</v>
      </c>
      <c r="D1059" s="23">
        <f t="shared" si="40"/>
        <v>302.13333333333333</v>
      </c>
    </row>
    <row r="1060" spans="1:4">
      <c r="A1060">
        <v>1058</v>
      </c>
      <c r="B1060" s="23">
        <f t="shared" si="38"/>
        <v>23.733333333333334</v>
      </c>
      <c r="C1060" s="23">
        <f t="shared" si="39"/>
        <v>4.0999999999999996</v>
      </c>
      <c r="D1060" s="23">
        <f t="shared" si="40"/>
        <v>297.86666666666667</v>
      </c>
    </row>
    <row r="1061" spans="1:4">
      <c r="A1061">
        <v>1059</v>
      </c>
      <c r="B1061" s="23">
        <f t="shared" si="38"/>
        <v>23.7</v>
      </c>
      <c r="C1061" s="23">
        <f t="shared" si="39"/>
        <v>4.05</v>
      </c>
      <c r="D1061" s="23">
        <f t="shared" si="40"/>
        <v>293.60000000000002</v>
      </c>
    </row>
    <row r="1062" spans="1:4">
      <c r="A1062">
        <v>1060</v>
      </c>
      <c r="B1062" s="23">
        <f t="shared" si="38"/>
        <v>23.666666666666668</v>
      </c>
      <c r="C1062" s="23">
        <f t="shared" si="39"/>
        <v>4</v>
      </c>
      <c r="D1062" s="23">
        <f t="shared" si="40"/>
        <v>289.33333333333337</v>
      </c>
    </row>
    <row r="1063" spans="1:4">
      <c r="A1063">
        <v>1061</v>
      </c>
      <c r="B1063" s="23">
        <f t="shared" si="38"/>
        <v>23.633333333333333</v>
      </c>
      <c r="C1063" s="23">
        <f t="shared" si="39"/>
        <v>3.95</v>
      </c>
      <c r="D1063" s="23">
        <f t="shared" si="40"/>
        <v>285.06666666666666</v>
      </c>
    </row>
    <row r="1064" spans="1:4">
      <c r="A1064">
        <v>1062</v>
      </c>
      <c r="B1064" s="23">
        <f t="shared" si="38"/>
        <v>23.6</v>
      </c>
      <c r="C1064" s="23">
        <f t="shared" si="39"/>
        <v>3.9</v>
      </c>
      <c r="D1064" s="23">
        <f t="shared" si="40"/>
        <v>280.8</v>
      </c>
    </row>
    <row r="1065" spans="1:4">
      <c r="A1065">
        <v>1063</v>
      </c>
      <c r="B1065" s="23">
        <f t="shared" si="38"/>
        <v>23.566666666666666</v>
      </c>
      <c r="C1065" s="23">
        <f t="shared" si="39"/>
        <v>3.85</v>
      </c>
      <c r="D1065" s="23">
        <f t="shared" si="40"/>
        <v>276.5333333333333</v>
      </c>
    </row>
    <row r="1066" spans="1:4">
      <c r="A1066">
        <v>1064</v>
      </c>
      <c r="B1066" s="23">
        <f t="shared" si="38"/>
        <v>23.533333333333335</v>
      </c>
      <c r="C1066" s="23">
        <f t="shared" si="39"/>
        <v>3.8</v>
      </c>
      <c r="D1066" s="23">
        <f t="shared" si="40"/>
        <v>272.26666666666665</v>
      </c>
    </row>
    <row r="1067" spans="1:4">
      <c r="A1067">
        <v>1065</v>
      </c>
      <c r="B1067" s="23">
        <f t="shared" si="38"/>
        <v>23.5</v>
      </c>
      <c r="C1067" s="23">
        <f t="shared" si="39"/>
        <v>3.75</v>
      </c>
      <c r="D1067" s="23">
        <f t="shared" si="40"/>
        <v>268</v>
      </c>
    </row>
    <row r="1068" spans="1:4">
      <c r="A1068">
        <v>1066</v>
      </c>
      <c r="B1068" s="23">
        <f t="shared" si="38"/>
        <v>23.466666666666665</v>
      </c>
      <c r="C1068" s="23">
        <f t="shared" si="39"/>
        <v>3.7</v>
      </c>
      <c r="D1068" s="23">
        <f t="shared" si="40"/>
        <v>263.73333333333335</v>
      </c>
    </row>
    <row r="1069" spans="1:4">
      <c r="A1069">
        <v>1067</v>
      </c>
      <c r="B1069" s="23">
        <f t="shared" si="38"/>
        <v>23.433333333333334</v>
      </c>
      <c r="C1069" s="23">
        <f t="shared" si="39"/>
        <v>3.65</v>
      </c>
      <c r="D1069" s="23">
        <f t="shared" si="40"/>
        <v>259.4666666666667</v>
      </c>
    </row>
    <row r="1070" spans="1:4">
      <c r="A1070">
        <v>1068</v>
      </c>
      <c r="B1070" s="23">
        <f t="shared" si="38"/>
        <v>23.4</v>
      </c>
      <c r="C1070" s="23">
        <f t="shared" si="39"/>
        <v>3.6</v>
      </c>
      <c r="D1070" s="23">
        <f t="shared" si="40"/>
        <v>255.2</v>
      </c>
    </row>
    <row r="1071" spans="1:4">
      <c r="A1071">
        <v>1069</v>
      </c>
      <c r="B1071" s="23">
        <f t="shared" si="38"/>
        <v>23.366666666666667</v>
      </c>
      <c r="C1071" s="23">
        <f t="shared" si="39"/>
        <v>3.55</v>
      </c>
      <c r="D1071" s="23">
        <f t="shared" si="40"/>
        <v>250.93333333333334</v>
      </c>
    </row>
    <row r="1072" spans="1:4">
      <c r="A1072">
        <v>1070</v>
      </c>
      <c r="B1072" s="23">
        <f t="shared" si="38"/>
        <v>23.333333333333332</v>
      </c>
      <c r="C1072" s="23">
        <f t="shared" si="39"/>
        <v>3.5</v>
      </c>
      <c r="D1072" s="23">
        <f t="shared" si="40"/>
        <v>246.66666666666666</v>
      </c>
    </row>
    <row r="1073" spans="1:4">
      <c r="A1073">
        <v>1071</v>
      </c>
      <c r="B1073" s="23">
        <f t="shared" si="38"/>
        <v>23.3</v>
      </c>
      <c r="C1073" s="23">
        <f t="shared" si="39"/>
        <v>3.45</v>
      </c>
      <c r="D1073" s="23">
        <f t="shared" si="40"/>
        <v>242.4</v>
      </c>
    </row>
    <row r="1074" spans="1:4">
      <c r="A1074">
        <v>1072</v>
      </c>
      <c r="B1074" s="23">
        <f t="shared" si="38"/>
        <v>23.266666666666666</v>
      </c>
      <c r="C1074" s="23">
        <f t="shared" si="39"/>
        <v>3.4</v>
      </c>
      <c r="D1074" s="23">
        <f t="shared" si="40"/>
        <v>238.13333333333333</v>
      </c>
    </row>
    <row r="1075" spans="1:4">
      <c r="A1075">
        <v>1073</v>
      </c>
      <c r="B1075" s="23">
        <f t="shared" si="38"/>
        <v>23.233333333333334</v>
      </c>
      <c r="C1075" s="23">
        <f t="shared" si="39"/>
        <v>3.35</v>
      </c>
      <c r="D1075" s="23">
        <f t="shared" si="40"/>
        <v>233.86666666666667</v>
      </c>
    </row>
    <row r="1076" spans="1:4">
      <c r="A1076">
        <v>1074</v>
      </c>
      <c r="B1076" s="23">
        <f t="shared" si="38"/>
        <v>23.2</v>
      </c>
      <c r="C1076" s="23">
        <f t="shared" si="39"/>
        <v>3.3</v>
      </c>
      <c r="D1076" s="23">
        <f t="shared" si="40"/>
        <v>229.6</v>
      </c>
    </row>
    <row r="1077" spans="1:4">
      <c r="A1077">
        <v>1075</v>
      </c>
      <c r="B1077" s="23">
        <f t="shared" si="38"/>
        <v>23.166666666666668</v>
      </c>
      <c r="C1077" s="23">
        <f t="shared" si="39"/>
        <v>3.25</v>
      </c>
      <c r="D1077" s="23">
        <f t="shared" si="40"/>
        <v>225.33333333333334</v>
      </c>
    </row>
    <row r="1078" spans="1:4">
      <c r="A1078">
        <v>1076</v>
      </c>
      <c r="B1078" s="23">
        <f t="shared" si="38"/>
        <v>23.133333333333333</v>
      </c>
      <c r="C1078" s="23">
        <f t="shared" si="39"/>
        <v>3.2</v>
      </c>
      <c r="D1078" s="23">
        <f t="shared" si="40"/>
        <v>221.06666666666666</v>
      </c>
    </row>
    <row r="1079" spans="1:4">
      <c r="A1079">
        <v>1077</v>
      </c>
      <c r="B1079" s="23">
        <f t="shared" si="38"/>
        <v>23.1</v>
      </c>
      <c r="C1079" s="23">
        <f t="shared" si="39"/>
        <v>3.15</v>
      </c>
      <c r="D1079" s="23">
        <f t="shared" si="40"/>
        <v>216.8</v>
      </c>
    </row>
    <row r="1080" spans="1:4">
      <c r="A1080">
        <v>1078</v>
      </c>
      <c r="B1080" s="23">
        <f t="shared" si="38"/>
        <v>23.066666666666666</v>
      </c>
      <c r="C1080" s="23">
        <f t="shared" si="39"/>
        <v>3.1</v>
      </c>
      <c r="D1080" s="23">
        <f t="shared" si="40"/>
        <v>212.53333333333333</v>
      </c>
    </row>
    <row r="1081" spans="1:4">
      <c r="A1081">
        <v>1079</v>
      </c>
      <c r="B1081" s="23">
        <f t="shared" si="38"/>
        <v>23.033333333333335</v>
      </c>
      <c r="C1081" s="23">
        <f t="shared" si="39"/>
        <v>3.05</v>
      </c>
      <c r="D1081" s="23">
        <f t="shared" si="40"/>
        <v>208.26666666666668</v>
      </c>
    </row>
    <row r="1082" spans="1:4">
      <c r="A1082">
        <v>1080</v>
      </c>
      <c r="B1082" s="4">
        <v>23</v>
      </c>
      <c r="C1082" s="20">
        <v>3</v>
      </c>
      <c r="D1082" s="5">
        <v>204</v>
      </c>
    </row>
    <row r="1083" spans="1:4">
      <c r="A1083">
        <v>1081</v>
      </c>
      <c r="B1083">
        <f>(A1083-$A$1082)*-3/60+23</f>
        <v>22.95</v>
      </c>
      <c r="C1083" s="23">
        <f>(A1083-$A$1082)*-1/60+3</f>
        <v>2.9833333333333334</v>
      </c>
      <c r="D1083" s="23">
        <f>$D$1082-(A1083-$A$1082)*($D$1082-$D$1142)/60</f>
        <v>200.93333333333334</v>
      </c>
    </row>
    <row r="1084" spans="1:4">
      <c r="A1084">
        <v>1082</v>
      </c>
      <c r="B1084">
        <f t="shared" ref="B1084:B1141" si="41">(A1084-$A$1082)*-3/60+23</f>
        <v>22.9</v>
      </c>
      <c r="C1084" s="23">
        <f t="shared" ref="C1084:C1141" si="42">(A1084-$A$1082)*-1/60+3</f>
        <v>2.9666666666666668</v>
      </c>
      <c r="D1084" s="23">
        <f t="shared" ref="D1084:D1141" si="43">$D$1082-(A1084-$A$1082)*($D$1082-$D$1142)/60</f>
        <v>197.86666666666667</v>
      </c>
    </row>
    <row r="1085" spans="1:4">
      <c r="A1085">
        <v>1083</v>
      </c>
      <c r="B1085">
        <f t="shared" si="41"/>
        <v>22.85</v>
      </c>
      <c r="C1085" s="23">
        <f t="shared" si="42"/>
        <v>2.95</v>
      </c>
      <c r="D1085" s="23">
        <f t="shared" si="43"/>
        <v>194.8</v>
      </c>
    </row>
    <row r="1086" spans="1:4">
      <c r="A1086">
        <v>1084</v>
      </c>
      <c r="B1086">
        <f t="shared" si="41"/>
        <v>22.8</v>
      </c>
      <c r="C1086" s="23">
        <f t="shared" si="42"/>
        <v>2.9333333333333331</v>
      </c>
      <c r="D1086" s="23">
        <f t="shared" si="43"/>
        <v>191.73333333333332</v>
      </c>
    </row>
    <row r="1087" spans="1:4">
      <c r="A1087">
        <v>1085</v>
      </c>
      <c r="B1087">
        <f t="shared" si="41"/>
        <v>22.75</v>
      </c>
      <c r="C1087" s="23">
        <f t="shared" si="42"/>
        <v>2.9166666666666665</v>
      </c>
      <c r="D1087" s="23">
        <f t="shared" si="43"/>
        <v>188.66666666666666</v>
      </c>
    </row>
    <row r="1088" spans="1:4">
      <c r="A1088">
        <v>1086</v>
      </c>
      <c r="B1088">
        <f t="shared" si="41"/>
        <v>22.7</v>
      </c>
      <c r="C1088" s="23">
        <f t="shared" si="42"/>
        <v>2.9</v>
      </c>
      <c r="D1088" s="23">
        <f t="shared" si="43"/>
        <v>185.6</v>
      </c>
    </row>
    <row r="1089" spans="1:4">
      <c r="A1089">
        <v>1087</v>
      </c>
      <c r="B1089">
        <f t="shared" si="41"/>
        <v>22.65</v>
      </c>
      <c r="C1089" s="23">
        <f t="shared" si="42"/>
        <v>2.8833333333333333</v>
      </c>
      <c r="D1089" s="23">
        <f t="shared" si="43"/>
        <v>182.53333333333333</v>
      </c>
    </row>
    <row r="1090" spans="1:4">
      <c r="A1090">
        <v>1088</v>
      </c>
      <c r="B1090">
        <f t="shared" si="41"/>
        <v>22.6</v>
      </c>
      <c r="C1090" s="23">
        <f t="shared" si="42"/>
        <v>2.8666666666666667</v>
      </c>
      <c r="D1090" s="23">
        <f t="shared" si="43"/>
        <v>179.46666666666667</v>
      </c>
    </row>
    <row r="1091" spans="1:4">
      <c r="A1091">
        <v>1089</v>
      </c>
      <c r="B1091">
        <f t="shared" si="41"/>
        <v>22.55</v>
      </c>
      <c r="C1091" s="23">
        <f t="shared" si="42"/>
        <v>2.85</v>
      </c>
      <c r="D1091" s="23">
        <f t="shared" si="43"/>
        <v>176.4</v>
      </c>
    </row>
    <row r="1092" spans="1:4">
      <c r="A1092">
        <v>1090</v>
      </c>
      <c r="B1092">
        <f t="shared" si="41"/>
        <v>22.5</v>
      </c>
      <c r="C1092" s="23">
        <f t="shared" si="42"/>
        <v>2.8333333333333335</v>
      </c>
      <c r="D1092" s="23">
        <f t="shared" si="43"/>
        <v>173.33333333333334</v>
      </c>
    </row>
    <row r="1093" spans="1:4">
      <c r="A1093">
        <v>1091</v>
      </c>
      <c r="B1093">
        <f t="shared" si="41"/>
        <v>22.45</v>
      </c>
      <c r="C1093" s="23">
        <f t="shared" si="42"/>
        <v>2.8166666666666669</v>
      </c>
      <c r="D1093" s="23">
        <f t="shared" si="43"/>
        <v>170.26666666666665</v>
      </c>
    </row>
    <row r="1094" spans="1:4">
      <c r="A1094">
        <v>1092</v>
      </c>
      <c r="B1094">
        <f t="shared" si="41"/>
        <v>22.4</v>
      </c>
      <c r="C1094" s="23">
        <f t="shared" si="42"/>
        <v>2.8</v>
      </c>
      <c r="D1094" s="23">
        <f t="shared" si="43"/>
        <v>167.2</v>
      </c>
    </row>
    <row r="1095" spans="1:4">
      <c r="A1095">
        <v>1093</v>
      </c>
      <c r="B1095">
        <f t="shared" si="41"/>
        <v>22.35</v>
      </c>
      <c r="C1095" s="23">
        <f t="shared" si="42"/>
        <v>2.7833333333333332</v>
      </c>
      <c r="D1095" s="23">
        <f t="shared" si="43"/>
        <v>164.13333333333333</v>
      </c>
    </row>
    <row r="1096" spans="1:4">
      <c r="A1096">
        <v>1094</v>
      </c>
      <c r="B1096">
        <f t="shared" si="41"/>
        <v>22.3</v>
      </c>
      <c r="C1096" s="23">
        <f t="shared" si="42"/>
        <v>2.7666666666666666</v>
      </c>
      <c r="D1096" s="23">
        <f t="shared" si="43"/>
        <v>161.06666666666666</v>
      </c>
    </row>
    <row r="1097" spans="1:4">
      <c r="A1097">
        <v>1095</v>
      </c>
      <c r="B1097">
        <f t="shared" si="41"/>
        <v>22.25</v>
      </c>
      <c r="C1097" s="23">
        <f t="shared" si="42"/>
        <v>2.75</v>
      </c>
      <c r="D1097" s="23">
        <f t="shared" si="43"/>
        <v>158</v>
      </c>
    </row>
    <row r="1098" spans="1:4">
      <c r="A1098">
        <v>1096</v>
      </c>
      <c r="B1098">
        <f t="shared" si="41"/>
        <v>22.2</v>
      </c>
      <c r="C1098" s="23">
        <f t="shared" si="42"/>
        <v>2.7333333333333334</v>
      </c>
      <c r="D1098" s="23">
        <f t="shared" si="43"/>
        <v>154.93333333333334</v>
      </c>
    </row>
    <row r="1099" spans="1:4">
      <c r="A1099">
        <v>1097</v>
      </c>
      <c r="B1099">
        <f t="shared" si="41"/>
        <v>22.15</v>
      </c>
      <c r="C1099" s="23">
        <f t="shared" si="42"/>
        <v>2.7166666666666668</v>
      </c>
      <c r="D1099" s="23">
        <f t="shared" si="43"/>
        <v>151.86666666666667</v>
      </c>
    </row>
    <row r="1100" spans="1:4">
      <c r="A1100">
        <v>1098</v>
      </c>
      <c r="B1100">
        <f t="shared" si="41"/>
        <v>22.1</v>
      </c>
      <c r="C1100" s="23">
        <f t="shared" si="42"/>
        <v>2.7</v>
      </c>
      <c r="D1100" s="23">
        <f t="shared" si="43"/>
        <v>148.80000000000001</v>
      </c>
    </row>
    <row r="1101" spans="1:4">
      <c r="A1101">
        <v>1099</v>
      </c>
      <c r="B1101">
        <f t="shared" si="41"/>
        <v>22.05</v>
      </c>
      <c r="C1101" s="23">
        <f t="shared" si="42"/>
        <v>2.6833333333333336</v>
      </c>
      <c r="D1101" s="23">
        <f t="shared" si="43"/>
        <v>145.73333333333335</v>
      </c>
    </row>
    <row r="1102" spans="1:4">
      <c r="A1102">
        <v>1100</v>
      </c>
      <c r="B1102">
        <f t="shared" si="41"/>
        <v>22</v>
      </c>
      <c r="C1102" s="23">
        <f t="shared" si="42"/>
        <v>2.6666666666666665</v>
      </c>
      <c r="D1102" s="23">
        <f t="shared" si="43"/>
        <v>142.66666666666666</v>
      </c>
    </row>
    <row r="1103" spans="1:4">
      <c r="A1103">
        <v>1101</v>
      </c>
      <c r="B1103">
        <f t="shared" si="41"/>
        <v>21.95</v>
      </c>
      <c r="C1103" s="23">
        <f t="shared" si="42"/>
        <v>2.65</v>
      </c>
      <c r="D1103" s="23">
        <f t="shared" si="43"/>
        <v>139.6</v>
      </c>
    </row>
    <row r="1104" spans="1:4">
      <c r="A1104">
        <v>1102</v>
      </c>
      <c r="B1104">
        <f t="shared" si="41"/>
        <v>21.9</v>
      </c>
      <c r="C1104" s="23">
        <f t="shared" si="42"/>
        <v>2.6333333333333333</v>
      </c>
      <c r="D1104" s="23">
        <f t="shared" si="43"/>
        <v>136.53333333333333</v>
      </c>
    </row>
    <row r="1105" spans="1:4">
      <c r="A1105">
        <v>1103</v>
      </c>
      <c r="B1105">
        <f t="shared" si="41"/>
        <v>21.85</v>
      </c>
      <c r="C1105" s="23">
        <f t="shared" si="42"/>
        <v>2.6166666666666667</v>
      </c>
      <c r="D1105" s="23">
        <f t="shared" si="43"/>
        <v>133.46666666666667</v>
      </c>
    </row>
    <row r="1106" spans="1:4">
      <c r="A1106">
        <v>1104</v>
      </c>
      <c r="B1106">
        <f t="shared" si="41"/>
        <v>21.8</v>
      </c>
      <c r="C1106" s="23">
        <f t="shared" si="42"/>
        <v>2.6</v>
      </c>
      <c r="D1106" s="23">
        <f t="shared" si="43"/>
        <v>130.4</v>
      </c>
    </row>
    <row r="1107" spans="1:4">
      <c r="A1107">
        <v>1105</v>
      </c>
      <c r="B1107">
        <f t="shared" si="41"/>
        <v>21.75</v>
      </c>
      <c r="C1107" s="23">
        <f t="shared" si="42"/>
        <v>2.5833333333333335</v>
      </c>
      <c r="D1107" s="23">
        <f t="shared" si="43"/>
        <v>127.33333333333333</v>
      </c>
    </row>
    <row r="1108" spans="1:4">
      <c r="A1108">
        <v>1106</v>
      </c>
      <c r="B1108">
        <f t="shared" si="41"/>
        <v>21.7</v>
      </c>
      <c r="C1108" s="23">
        <f t="shared" si="42"/>
        <v>2.5666666666666664</v>
      </c>
      <c r="D1108" s="23">
        <f t="shared" si="43"/>
        <v>124.26666666666667</v>
      </c>
    </row>
    <row r="1109" spans="1:4">
      <c r="A1109">
        <v>1107</v>
      </c>
      <c r="B1109">
        <f t="shared" si="41"/>
        <v>21.65</v>
      </c>
      <c r="C1109" s="23">
        <f t="shared" si="42"/>
        <v>2.5499999999999998</v>
      </c>
      <c r="D1109" s="23">
        <f t="shared" si="43"/>
        <v>121.2</v>
      </c>
    </row>
    <row r="1110" spans="1:4">
      <c r="A1110">
        <v>1108</v>
      </c>
      <c r="B1110">
        <f t="shared" si="41"/>
        <v>21.6</v>
      </c>
      <c r="C1110" s="23">
        <f t="shared" si="42"/>
        <v>2.5333333333333332</v>
      </c>
      <c r="D1110" s="23">
        <f t="shared" si="43"/>
        <v>118.13333333333334</v>
      </c>
    </row>
    <row r="1111" spans="1:4">
      <c r="A1111">
        <v>1109</v>
      </c>
      <c r="B1111">
        <f t="shared" si="41"/>
        <v>21.55</v>
      </c>
      <c r="C1111" s="23">
        <f t="shared" si="42"/>
        <v>2.5166666666666666</v>
      </c>
      <c r="D1111" s="23">
        <f t="shared" si="43"/>
        <v>115.06666666666666</v>
      </c>
    </row>
    <row r="1112" spans="1:4">
      <c r="A1112">
        <v>1110</v>
      </c>
      <c r="B1112">
        <f t="shared" si="41"/>
        <v>21.5</v>
      </c>
      <c r="C1112" s="23">
        <f t="shared" si="42"/>
        <v>2.5</v>
      </c>
      <c r="D1112" s="23">
        <f t="shared" si="43"/>
        <v>112</v>
      </c>
    </row>
    <row r="1113" spans="1:4">
      <c r="A1113">
        <v>1111</v>
      </c>
      <c r="B1113">
        <f t="shared" si="41"/>
        <v>21.45</v>
      </c>
      <c r="C1113" s="23">
        <f t="shared" si="42"/>
        <v>2.4833333333333334</v>
      </c>
      <c r="D1113" s="23">
        <f t="shared" si="43"/>
        <v>108.93333333333334</v>
      </c>
    </row>
    <row r="1114" spans="1:4">
      <c r="A1114">
        <v>1112</v>
      </c>
      <c r="B1114">
        <f t="shared" si="41"/>
        <v>21.4</v>
      </c>
      <c r="C1114" s="23">
        <f t="shared" si="42"/>
        <v>2.4666666666666668</v>
      </c>
      <c r="D1114" s="23">
        <f t="shared" si="43"/>
        <v>105.86666666666666</v>
      </c>
    </row>
    <row r="1115" spans="1:4">
      <c r="A1115">
        <v>1113</v>
      </c>
      <c r="B1115">
        <f t="shared" si="41"/>
        <v>21.35</v>
      </c>
      <c r="C1115" s="23">
        <f t="shared" si="42"/>
        <v>2.4500000000000002</v>
      </c>
      <c r="D1115" s="23">
        <f t="shared" si="43"/>
        <v>102.8</v>
      </c>
    </row>
    <row r="1116" spans="1:4">
      <c r="A1116">
        <v>1114</v>
      </c>
      <c r="B1116">
        <f t="shared" si="41"/>
        <v>21.3</v>
      </c>
      <c r="C1116" s="23">
        <f t="shared" si="42"/>
        <v>2.4333333333333336</v>
      </c>
      <c r="D1116" s="23">
        <f t="shared" si="43"/>
        <v>99.733333333333334</v>
      </c>
    </row>
    <row r="1117" spans="1:4">
      <c r="A1117">
        <v>1115</v>
      </c>
      <c r="B1117">
        <f t="shared" si="41"/>
        <v>21.25</v>
      </c>
      <c r="C1117" s="23">
        <f t="shared" si="42"/>
        <v>2.4166666666666665</v>
      </c>
      <c r="D1117" s="23">
        <f t="shared" si="43"/>
        <v>96.666666666666671</v>
      </c>
    </row>
    <row r="1118" spans="1:4">
      <c r="A1118">
        <v>1116</v>
      </c>
      <c r="B1118">
        <f t="shared" si="41"/>
        <v>21.2</v>
      </c>
      <c r="C1118" s="23">
        <f t="shared" si="42"/>
        <v>2.4</v>
      </c>
      <c r="D1118" s="23">
        <f t="shared" si="43"/>
        <v>93.6</v>
      </c>
    </row>
    <row r="1119" spans="1:4">
      <c r="A1119">
        <v>1117</v>
      </c>
      <c r="B1119">
        <f t="shared" si="41"/>
        <v>21.15</v>
      </c>
      <c r="C1119" s="23">
        <f t="shared" si="42"/>
        <v>2.3833333333333333</v>
      </c>
      <c r="D1119" s="23">
        <f t="shared" si="43"/>
        <v>90.533333333333331</v>
      </c>
    </row>
    <row r="1120" spans="1:4">
      <c r="A1120">
        <v>1118</v>
      </c>
      <c r="B1120">
        <f t="shared" si="41"/>
        <v>21.1</v>
      </c>
      <c r="C1120" s="23">
        <f t="shared" si="42"/>
        <v>2.3666666666666667</v>
      </c>
      <c r="D1120" s="23">
        <f t="shared" si="43"/>
        <v>87.466666666666669</v>
      </c>
    </row>
    <row r="1121" spans="1:4">
      <c r="A1121">
        <v>1119</v>
      </c>
      <c r="B1121">
        <f t="shared" si="41"/>
        <v>21.05</v>
      </c>
      <c r="C1121" s="23">
        <f t="shared" si="42"/>
        <v>2.35</v>
      </c>
      <c r="D1121" s="23">
        <f t="shared" si="43"/>
        <v>84.4</v>
      </c>
    </row>
    <row r="1122" spans="1:4">
      <c r="A1122">
        <v>1120</v>
      </c>
      <c r="B1122">
        <f t="shared" si="41"/>
        <v>21</v>
      </c>
      <c r="C1122" s="23">
        <f t="shared" si="42"/>
        <v>2.3333333333333335</v>
      </c>
      <c r="D1122" s="23">
        <f t="shared" si="43"/>
        <v>81.333333333333329</v>
      </c>
    </row>
    <row r="1123" spans="1:4">
      <c r="A1123">
        <v>1121</v>
      </c>
      <c r="B1123">
        <f t="shared" si="41"/>
        <v>20.95</v>
      </c>
      <c r="C1123" s="23">
        <f t="shared" si="42"/>
        <v>2.3166666666666664</v>
      </c>
      <c r="D1123" s="23">
        <f t="shared" si="43"/>
        <v>78.266666666666666</v>
      </c>
    </row>
    <row r="1124" spans="1:4">
      <c r="A1124">
        <v>1122</v>
      </c>
      <c r="B1124">
        <f t="shared" si="41"/>
        <v>20.9</v>
      </c>
      <c r="C1124" s="23">
        <f t="shared" si="42"/>
        <v>2.2999999999999998</v>
      </c>
      <c r="D1124" s="23">
        <f t="shared" si="43"/>
        <v>75.199999999999989</v>
      </c>
    </row>
    <row r="1125" spans="1:4">
      <c r="A1125">
        <v>1123</v>
      </c>
      <c r="B1125">
        <f t="shared" si="41"/>
        <v>20.85</v>
      </c>
      <c r="C1125" s="23">
        <f t="shared" si="42"/>
        <v>2.2833333333333332</v>
      </c>
      <c r="D1125" s="23">
        <f t="shared" si="43"/>
        <v>72.133333333333326</v>
      </c>
    </row>
    <row r="1126" spans="1:4">
      <c r="A1126">
        <v>1124</v>
      </c>
      <c r="B1126">
        <f t="shared" si="41"/>
        <v>20.8</v>
      </c>
      <c r="C1126" s="23">
        <f t="shared" si="42"/>
        <v>2.2666666666666666</v>
      </c>
      <c r="D1126" s="23">
        <f t="shared" si="43"/>
        <v>69.066666666666663</v>
      </c>
    </row>
    <row r="1127" spans="1:4">
      <c r="A1127">
        <v>1125</v>
      </c>
      <c r="B1127">
        <f t="shared" si="41"/>
        <v>20.75</v>
      </c>
      <c r="C1127" s="23">
        <f t="shared" si="42"/>
        <v>2.25</v>
      </c>
      <c r="D1127" s="23">
        <f t="shared" si="43"/>
        <v>66</v>
      </c>
    </row>
    <row r="1128" spans="1:4">
      <c r="A1128">
        <v>1126</v>
      </c>
      <c r="B1128">
        <f t="shared" si="41"/>
        <v>20.7</v>
      </c>
      <c r="C1128" s="23">
        <f t="shared" si="42"/>
        <v>2.2333333333333334</v>
      </c>
      <c r="D1128" s="23">
        <f t="shared" si="43"/>
        <v>62.933333333333337</v>
      </c>
    </row>
    <row r="1129" spans="1:4">
      <c r="A1129">
        <v>1127</v>
      </c>
      <c r="B1129">
        <f t="shared" si="41"/>
        <v>20.65</v>
      </c>
      <c r="C1129" s="23">
        <f t="shared" si="42"/>
        <v>2.2166666666666668</v>
      </c>
      <c r="D1129" s="23">
        <f t="shared" si="43"/>
        <v>59.866666666666674</v>
      </c>
    </row>
    <row r="1130" spans="1:4">
      <c r="A1130">
        <v>1128</v>
      </c>
      <c r="B1130">
        <f t="shared" si="41"/>
        <v>20.6</v>
      </c>
      <c r="C1130" s="23">
        <f t="shared" si="42"/>
        <v>2.2000000000000002</v>
      </c>
      <c r="D1130" s="23">
        <f t="shared" si="43"/>
        <v>56.800000000000011</v>
      </c>
    </row>
    <row r="1131" spans="1:4">
      <c r="A1131">
        <v>1129</v>
      </c>
      <c r="B1131">
        <f t="shared" si="41"/>
        <v>20.55</v>
      </c>
      <c r="C1131" s="23">
        <f t="shared" si="42"/>
        <v>2.1833333333333336</v>
      </c>
      <c r="D1131" s="23">
        <f t="shared" si="43"/>
        <v>53.73333333333332</v>
      </c>
    </row>
    <row r="1132" spans="1:4">
      <c r="A1132">
        <v>1130</v>
      </c>
      <c r="B1132">
        <f t="shared" si="41"/>
        <v>20.5</v>
      </c>
      <c r="C1132" s="23">
        <f t="shared" si="42"/>
        <v>2.1666666666666665</v>
      </c>
      <c r="D1132" s="23">
        <f t="shared" si="43"/>
        <v>50.666666666666657</v>
      </c>
    </row>
    <row r="1133" spans="1:4">
      <c r="A1133">
        <v>1131</v>
      </c>
      <c r="B1133">
        <f t="shared" si="41"/>
        <v>20.45</v>
      </c>
      <c r="C1133" s="23">
        <f t="shared" si="42"/>
        <v>2.15</v>
      </c>
      <c r="D1133" s="23">
        <f t="shared" si="43"/>
        <v>47.599999999999994</v>
      </c>
    </row>
    <row r="1134" spans="1:4">
      <c r="A1134">
        <v>1132</v>
      </c>
      <c r="B1134">
        <f t="shared" si="41"/>
        <v>20.399999999999999</v>
      </c>
      <c r="C1134" s="23">
        <f t="shared" si="42"/>
        <v>2.1333333333333333</v>
      </c>
      <c r="D1134" s="23">
        <f t="shared" si="43"/>
        <v>44.533333333333331</v>
      </c>
    </row>
    <row r="1135" spans="1:4">
      <c r="A1135">
        <v>1133</v>
      </c>
      <c r="B1135">
        <f t="shared" si="41"/>
        <v>20.350000000000001</v>
      </c>
      <c r="C1135" s="23">
        <f t="shared" si="42"/>
        <v>2.1166666666666667</v>
      </c>
      <c r="D1135" s="23">
        <f t="shared" si="43"/>
        <v>41.466666666666669</v>
      </c>
    </row>
    <row r="1136" spans="1:4">
      <c r="A1136">
        <v>1134</v>
      </c>
      <c r="B1136">
        <f t="shared" si="41"/>
        <v>20.3</v>
      </c>
      <c r="C1136" s="23">
        <f t="shared" si="42"/>
        <v>2.1</v>
      </c>
      <c r="D1136" s="23">
        <f t="shared" si="43"/>
        <v>38.400000000000006</v>
      </c>
    </row>
    <row r="1137" spans="1:4">
      <c r="A1137">
        <v>1135</v>
      </c>
      <c r="B1137">
        <f t="shared" si="41"/>
        <v>20.25</v>
      </c>
      <c r="C1137" s="23">
        <f t="shared" si="42"/>
        <v>2.0833333333333335</v>
      </c>
      <c r="D1137" s="23">
        <f t="shared" si="43"/>
        <v>35.333333333333343</v>
      </c>
    </row>
    <row r="1138" spans="1:4">
      <c r="A1138">
        <v>1136</v>
      </c>
      <c r="B1138">
        <f t="shared" si="41"/>
        <v>20.2</v>
      </c>
      <c r="C1138" s="23">
        <f t="shared" si="42"/>
        <v>2.0666666666666664</v>
      </c>
      <c r="D1138" s="23">
        <f t="shared" si="43"/>
        <v>32.26666666666668</v>
      </c>
    </row>
    <row r="1139" spans="1:4">
      <c r="A1139">
        <v>1137</v>
      </c>
      <c r="B1139">
        <f t="shared" si="41"/>
        <v>20.149999999999999</v>
      </c>
      <c r="C1139" s="23">
        <f t="shared" si="42"/>
        <v>2.0499999999999998</v>
      </c>
      <c r="D1139" s="23">
        <f t="shared" si="43"/>
        <v>29.199999999999989</v>
      </c>
    </row>
    <row r="1140" spans="1:4">
      <c r="A1140">
        <v>1138</v>
      </c>
      <c r="B1140">
        <f t="shared" si="41"/>
        <v>20.100000000000001</v>
      </c>
      <c r="C1140" s="23">
        <f t="shared" si="42"/>
        <v>2.0333333333333332</v>
      </c>
      <c r="D1140" s="23">
        <f t="shared" si="43"/>
        <v>26.133333333333326</v>
      </c>
    </row>
    <row r="1141" spans="1:4">
      <c r="A1141">
        <v>1139</v>
      </c>
      <c r="B1141">
        <f t="shared" si="41"/>
        <v>20.05</v>
      </c>
      <c r="C1141" s="23">
        <f t="shared" si="42"/>
        <v>2.0166666666666666</v>
      </c>
      <c r="D1141" s="23">
        <f t="shared" si="43"/>
        <v>23.066666666666663</v>
      </c>
    </row>
    <row r="1142" spans="1:4">
      <c r="A1142">
        <v>1140</v>
      </c>
      <c r="B1142" s="4">
        <v>20</v>
      </c>
      <c r="C1142" s="20">
        <v>2</v>
      </c>
      <c r="D1142" s="5">
        <v>20</v>
      </c>
    </row>
    <row r="1143" spans="1:4">
      <c r="A1143">
        <v>1141</v>
      </c>
      <c r="B1143" s="23">
        <f>(A1143-$A$1142)*-2/60+20</f>
        <v>19.966666666666665</v>
      </c>
      <c r="C1143" s="20">
        <v>2</v>
      </c>
      <c r="D1143" s="23">
        <f>$D$1142-(A1143-$A$1142)*($D$1142-$D$1202)/60</f>
        <v>19.666666666666668</v>
      </c>
    </row>
    <row r="1144" spans="1:4">
      <c r="A1144">
        <v>1142</v>
      </c>
      <c r="B1144" s="23">
        <f t="shared" ref="B1144:B1201" si="44">(A1144-$A$1142)*-2/60+20</f>
        <v>19.933333333333334</v>
      </c>
      <c r="C1144" s="20">
        <v>2</v>
      </c>
      <c r="D1144" s="23">
        <f t="shared" ref="D1144:D1201" si="45">$D$1142-(A1144-$A$1142)*($D$1142-$D$1202)/60</f>
        <v>19.333333333333332</v>
      </c>
    </row>
    <row r="1145" spans="1:4">
      <c r="A1145">
        <v>1143</v>
      </c>
      <c r="B1145" s="23">
        <f t="shared" si="44"/>
        <v>19.899999999999999</v>
      </c>
      <c r="C1145" s="20">
        <v>2</v>
      </c>
      <c r="D1145" s="23">
        <f t="shared" si="45"/>
        <v>19</v>
      </c>
    </row>
    <row r="1146" spans="1:4">
      <c r="A1146">
        <v>1144</v>
      </c>
      <c r="B1146" s="23">
        <f t="shared" si="44"/>
        <v>19.866666666666667</v>
      </c>
      <c r="C1146" s="20">
        <v>2</v>
      </c>
      <c r="D1146" s="23">
        <f t="shared" si="45"/>
        <v>18.666666666666668</v>
      </c>
    </row>
    <row r="1147" spans="1:4">
      <c r="A1147">
        <v>1145</v>
      </c>
      <c r="B1147" s="23">
        <f t="shared" si="44"/>
        <v>19.833333333333332</v>
      </c>
      <c r="C1147" s="20">
        <v>2</v>
      </c>
      <c r="D1147" s="23">
        <f t="shared" si="45"/>
        <v>18.333333333333332</v>
      </c>
    </row>
    <row r="1148" spans="1:4">
      <c r="A1148">
        <v>1146</v>
      </c>
      <c r="B1148" s="23">
        <f t="shared" si="44"/>
        <v>19.8</v>
      </c>
      <c r="C1148" s="20">
        <v>2</v>
      </c>
      <c r="D1148" s="23">
        <f t="shared" si="45"/>
        <v>18</v>
      </c>
    </row>
    <row r="1149" spans="1:4">
      <c r="A1149">
        <v>1147</v>
      </c>
      <c r="B1149" s="23">
        <f t="shared" si="44"/>
        <v>19.766666666666666</v>
      </c>
      <c r="C1149" s="20">
        <v>2</v>
      </c>
      <c r="D1149" s="23">
        <f t="shared" si="45"/>
        <v>17.666666666666668</v>
      </c>
    </row>
    <row r="1150" spans="1:4">
      <c r="A1150">
        <v>1148</v>
      </c>
      <c r="B1150" s="23">
        <f t="shared" si="44"/>
        <v>19.733333333333334</v>
      </c>
      <c r="C1150" s="20">
        <v>2</v>
      </c>
      <c r="D1150" s="23">
        <f t="shared" si="45"/>
        <v>17.333333333333332</v>
      </c>
    </row>
    <row r="1151" spans="1:4">
      <c r="A1151">
        <v>1149</v>
      </c>
      <c r="B1151" s="23">
        <f t="shared" si="44"/>
        <v>19.7</v>
      </c>
      <c r="C1151" s="20">
        <v>2</v>
      </c>
      <c r="D1151" s="23">
        <f t="shared" si="45"/>
        <v>17</v>
      </c>
    </row>
    <row r="1152" spans="1:4">
      <c r="A1152">
        <v>1150</v>
      </c>
      <c r="B1152" s="23">
        <f t="shared" si="44"/>
        <v>19.666666666666668</v>
      </c>
      <c r="C1152" s="20">
        <v>2</v>
      </c>
      <c r="D1152" s="23">
        <f t="shared" si="45"/>
        <v>16.666666666666668</v>
      </c>
    </row>
    <row r="1153" spans="1:4">
      <c r="A1153">
        <v>1151</v>
      </c>
      <c r="B1153" s="23">
        <f t="shared" si="44"/>
        <v>19.633333333333333</v>
      </c>
      <c r="C1153" s="20">
        <v>2</v>
      </c>
      <c r="D1153" s="23">
        <f t="shared" si="45"/>
        <v>16.333333333333332</v>
      </c>
    </row>
    <row r="1154" spans="1:4">
      <c r="A1154">
        <v>1152</v>
      </c>
      <c r="B1154" s="23">
        <f t="shared" si="44"/>
        <v>19.600000000000001</v>
      </c>
      <c r="C1154" s="20">
        <v>2</v>
      </c>
      <c r="D1154" s="23">
        <f t="shared" si="45"/>
        <v>16</v>
      </c>
    </row>
    <row r="1155" spans="1:4">
      <c r="A1155">
        <v>1153</v>
      </c>
      <c r="B1155" s="23">
        <f t="shared" si="44"/>
        <v>19.566666666666666</v>
      </c>
      <c r="C1155" s="20">
        <v>2</v>
      </c>
      <c r="D1155" s="23">
        <f t="shared" si="45"/>
        <v>15.666666666666668</v>
      </c>
    </row>
    <row r="1156" spans="1:4">
      <c r="A1156">
        <v>1154</v>
      </c>
      <c r="B1156" s="23">
        <f t="shared" si="44"/>
        <v>19.533333333333335</v>
      </c>
      <c r="C1156" s="20">
        <v>2</v>
      </c>
      <c r="D1156" s="23">
        <f t="shared" si="45"/>
        <v>15.333333333333332</v>
      </c>
    </row>
    <row r="1157" spans="1:4">
      <c r="A1157">
        <v>1155</v>
      </c>
      <c r="B1157" s="23">
        <f t="shared" si="44"/>
        <v>19.5</v>
      </c>
      <c r="C1157" s="20">
        <v>2</v>
      </c>
      <c r="D1157" s="23">
        <f t="shared" si="45"/>
        <v>15</v>
      </c>
    </row>
    <row r="1158" spans="1:4">
      <c r="A1158">
        <v>1156</v>
      </c>
      <c r="B1158" s="23">
        <f t="shared" si="44"/>
        <v>19.466666666666665</v>
      </c>
      <c r="C1158" s="20">
        <v>2</v>
      </c>
      <c r="D1158" s="23">
        <f t="shared" si="45"/>
        <v>14.666666666666668</v>
      </c>
    </row>
    <row r="1159" spans="1:4">
      <c r="A1159">
        <v>1157</v>
      </c>
      <c r="B1159" s="23">
        <f t="shared" si="44"/>
        <v>19.433333333333334</v>
      </c>
      <c r="C1159" s="20">
        <v>2</v>
      </c>
      <c r="D1159" s="23">
        <f t="shared" si="45"/>
        <v>14.333333333333332</v>
      </c>
    </row>
    <row r="1160" spans="1:4">
      <c r="A1160">
        <v>1158</v>
      </c>
      <c r="B1160" s="23">
        <f t="shared" si="44"/>
        <v>19.399999999999999</v>
      </c>
      <c r="C1160" s="20">
        <v>2</v>
      </c>
      <c r="D1160" s="23">
        <f t="shared" si="45"/>
        <v>14</v>
      </c>
    </row>
    <row r="1161" spans="1:4">
      <c r="A1161">
        <v>1159</v>
      </c>
      <c r="B1161" s="23">
        <f t="shared" si="44"/>
        <v>19.366666666666667</v>
      </c>
      <c r="C1161" s="20">
        <v>2</v>
      </c>
      <c r="D1161" s="23">
        <f t="shared" si="45"/>
        <v>13.666666666666668</v>
      </c>
    </row>
    <row r="1162" spans="1:4">
      <c r="A1162">
        <v>1160</v>
      </c>
      <c r="B1162" s="23">
        <f t="shared" si="44"/>
        <v>19.333333333333332</v>
      </c>
      <c r="C1162" s="20">
        <v>2</v>
      </c>
      <c r="D1162" s="23">
        <f t="shared" si="45"/>
        <v>13.333333333333332</v>
      </c>
    </row>
    <row r="1163" spans="1:4">
      <c r="A1163">
        <v>1161</v>
      </c>
      <c r="B1163" s="23">
        <f t="shared" si="44"/>
        <v>19.3</v>
      </c>
      <c r="C1163" s="20">
        <v>2</v>
      </c>
      <c r="D1163" s="23">
        <f t="shared" si="45"/>
        <v>13</v>
      </c>
    </row>
    <row r="1164" spans="1:4">
      <c r="A1164">
        <v>1162</v>
      </c>
      <c r="B1164" s="23">
        <f t="shared" si="44"/>
        <v>19.266666666666666</v>
      </c>
      <c r="C1164" s="20">
        <v>2</v>
      </c>
      <c r="D1164" s="23">
        <f t="shared" si="45"/>
        <v>12.666666666666668</v>
      </c>
    </row>
    <row r="1165" spans="1:4">
      <c r="A1165">
        <v>1163</v>
      </c>
      <c r="B1165" s="23">
        <f t="shared" si="44"/>
        <v>19.233333333333334</v>
      </c>
      <c r="C1165" s="20">
        <v>2</v>
      </c>
      <c r="D1165" s="23">
        <f t="shared" si="45"/>
        <v>12.333333333333332</v>
      </c>
    </row>
    <row r="1166" spans="1:4">
      <c r="A1166">
        <v>1164</v>
      </c>
      <c r="B1166" s="23">
        <f t="shared" si="44"/>
        <v>19.2</v>
      </c>
      <c r="C1166" s="20">
        <v>2</v>
      </c>
      <c r="D1166" s="23">
        <f t="shared" si="45"/>
        <v>12</v>
      </c>
    </row>
    <row r="1167" spans="1:4">
      <c r="A1167">
        <v>1165</v>
      </c>
      <c r="B1167" s="23">
        <f t="shared" si="44"/>
        <v>19.166666666666668</v>
      </c>
      <c r="C1167" s="20">
        <v>2</v>
      </c>
      <c r="D1167" s="23">
        <f t="shared" si="45"/>
        <v>11.666666666666666</v>
      </c>
    </row>
    <row r="1168" spans="1:4">
      <c r="A1168">
        <v>1166</v>
      </c>
      <c r="B1168" s="23">
        <f t="shared" si="44"/>
        <v>19.133333333333333</v>
      </c>
      <c r="C1168" s="20">
        <v>2</v>
      </c>
      <c r="D1168" s="23">
        <f t="shared" si="45"/>
        <v>11.333333333333334</v>
      </c>
    </row>
    <row r="1169" spans="1:4">
      <c r="A1169">
        <v>1167</v>
      </c>
      <c r="B1169" s="23">
        <f t="shared" si="44"/>
        <v>19.100000000000001</v>
      </c>
      <c r="C1169" s="20">
        <v>2</v>
      </c>
      <c r="D1169" s="23">
        <f t="shared" si="45"/>
        <v>11</v>
      </c>
    </row>
    <row r="1170" spans="1:4">
      <c r="A1170">
        <v>1168</v>
      </c>
      <c r="B1170" s="23">
        <f t="shared" si="44"/>
        <v>19.066666666666666</v>
      </c>
      <c r="C1170" s="20">
        <v>2</v>
      </c>
      <c r="D1170" s="23">
        <f t="shared" si="45"/>
        <v>10.666666666666666</v>
      </c>
    </row>
    <row r="1171" spans="1:4">
      <c r="A1171">
        <v>1169</v>
      </c>
      <c r="B1171" s="23">
        <f t="shared" si="44"/>
        <v>19.033333333333335</v>
      </c>
      <c r="C1171" s="20">
        <v>2</v>
      </c>
      <c r="D1171" s="23">
        <f t="shared" si="45"/>
        <v>10.333333333333334</v>
      </c>
    </row>
    <row r="1172" spans="1:4">
      <c r="A1172">
        <v>1170</v>
      </c>
      <c r="B1172" s="23">
        <f t="shared" si="44"/>
        <v>19</v>
      </c>
      <c r="C1172" s="20">
        <v>2</v>
      </c>
      <c r="D1172" s="23">
        <f t="shared" si="45"/>
        <v>10</v>
      </c>
    </row>
    <row r="1173" spans="1:4">
      <c r="A1173">
        <v>1171</v>
      </c>
      <c r="B1173" s="23">
        <f t="shared" si="44"/>
        <v>18.966666666666665</v>
      </c>
      <c r="C1173" s="20">
        <v>2</v>
      </c>
      <c r="D1173" s="23">
        <f t="shared" si="45"/>
        <v>9.6666666666666661</v>
      </c>
    </row>
    <row r="1174" spans="1:4">
      <c r="A1174">
        <v>1172</v>
      </c>
      <c r="B1174" s="23">
        <f t="shared" si="44"/>
        <v>18.933333333333334</v>
      </c>
      <c r="C1174" s="20">
        <v>2</v>
      </c>
      <c r="D1174" s="23">
        <f t="shared" si="45"/>
        <v>9.3333333333333339</v>
      </c>
    </row>
    <row r="1175" spans="1:4">
      <c r="A1175">
        <v>1173</v>
      </c>
      <c r="B1175" s="23">
        <f t="shared" si="44"/>
        <v>18.899999999999999</v>
      </c>
      <c r="C1175" s="20">
        <v>2</v>
      </c>
      <c r="D1175" s="23">
        <f t="shared" si="45"/>
        <v>9</v>
      </c>
    </row>
    <row r="1176" spans="1:4">
      <c r="A1176">
        <v>1174</v>
      </c>
      <c r="B1176" s="23">
        <f t="shared" si="44"/>
        <v>18.866666666666667</v>
      </c>
      <c r="C1176" s="20">
        <v>2</v>
      </c>
      <c r="D1176" s="23">
        <f t="shared" si="45"/>
        <v>8.6666666666666661</v>
      </c>
    </row>
    <row r="1177" spans="1:4">
      <c r="A1177">
        <v>1175</v>
      </c>
      <c r="B1177" s="23">
        <f t="shared" si="44"/>
        <v>18.833333333333332</v>
      </c>
      <c r="C1177" s="20">
        <v>2</v>
      </c>
      <c r="D1177" s="23">
        <f t="shared" si="45"/>
        <v>8.3333333333333339</v>
      </c>
    </row>
    <row r="1178" spans="1:4">
      <c r="A1178">
        <v>1176</v>
      </c>
      <c r="B1178" s="23">
        <f t="shared" si="44"/>
        <v>18.8</v>
      </c>
      <c r="C1178" s="20">
        <v>2</v>
      </c>
      <c r="D1178" s="23">
        <f t="shared" si="45"/>
        <v>8</v>
      </c>
    </row>
    <row r="1179" spans="1:4">
      <c r="A1179">
        <v>1177</v>
      </c>
      <c r="B1179" s="23">
        <f t="shared" si="44"/>
        <v>18.766666666666666</v>
      </c>
      <c r="C1179" s="20">
        <v>2</v>
      </c>
      <c r="D1179" s="23">
        <f t="shared" si="45"/>
        <v>7.6666666666666661</v>
      </c>
    </row>
    <row r="1180" spans="1:4">
      <c r="A1180">
        <v>1178</v>
      </c>
      <c r="B1180" s="23">
        <f t="shared" si="44"/>
        <v>18.733333333333334</v>
      </c>
      <c r="C1180" s="20">
        <v>2</v>
      </c>
      <c r="D1180" s="23">
        <f t="shared" si="45"/>
        <v>7.3333333333333339</v>
      </c>
    </row>
    <row r="1181" spans="1:4">
      <c r="A1181">
        <v>1179</v>
      </c>
      <c r="B1181" s="23">
        <f t="shared" si="44"/>
        <v>18.7</v>
      </c>
      <c r="C1181" s="20">
        <v>2</v>
      </c>
      <c r="D1181" s="23">
        <f t="shared" si="45"/>
        <v>7</v>
      </c>
    </row>
    <row r="1182" spans="1:4">
      <c r="A1182">
        <v>1180</v>
      </c>
      <c r="B1182" s="23">
        <f t="shared" si="44"/>
        <v>18.666666666666668</v>
      </c>
      <c r="C1182" s="20">
        <v>2</v>
      </c>
      <c r="D1182" s="23">
        <f t="shared" si="45"/>
        <v>6.6666666666666661</v>
      </c>
    </row>
    <row r="1183" spans="1:4">
      <c r="A1183">
        <v>1181</v>
      </c>
      <c r="B1183" s="23">
        <f t="shared" si="44"/>
        <v>18.633333333333333</v>
      </c>
      <c r="C1183" s="20">
        <v>2</v>
      </c>
      <c r="D1183" s="23">
        <f t="shared" si="45"/>
        <v>6.3333333333333339</v>
      </c>
    </row>
    <row r="1184" spans="1:4">
      <c r="A1184">
        <v>1182</v>
      </c>
      <c r="B1184" s="23">
        <f t="shared" si="44"/>
        <v>18.600000000000001</v>
      </c>
      <c r="C1184" s="20">
        <v>2</v>
      </c>
      <c r="D1184" s="23">
        <f t="shared" si="45"/>
        <v>6</v>
      </c>
    </row>
    <row r="1185" spans="1:4">
      <c r="A1185">
        <v>1183</v>
      </c>
      <c r="B1185" s="23">
        <f t="shared" si="44"/>
        <v>18.566666666666666</v>
      </c>
      <c r="C1185" s="20">
        <v>2</v>
      </c>
      <c r="D1185" s="23">
        <f t="shared" si="45"/>
        <v>5.6666666666666661</v>
      </c>
    </row>
    <row r="1186" spans="1:4">
      <c r="A1186">
        <v>1184</v>
      </c>
      <c r="B1186" s="23">
        <f t="shared" si="44"/>
        <v>18.533333333333335</v>
      </c>
      <c r="C1186" s="20">
        <v>2</v>
      </c>
      <c r="D1186" s="23">
        <f t="shared" si="45"/>
        <v>5.3333333333333339</v>
      </c>
    </row>
    <row r="1187" spans="1:4">
      <c r="A1187">
        <v>1185</v>
      </c>
      <c r="B1187" s="23">
        <f t="shared" si="44"/>
        <v>18.5</v>
      </c>
      <c r="C1187" s="20">
        <v>2</v>
      </c>
      <c r="D1187" s="23">
        <f t="shared" si="45"/>
        <v>5</v>
      </c>
    </row>
    <row r="1188" spans="1:4">
      <c r="A1188">
        <v>1186</v>
      </c>
      <c r="B1188" s="23">
        <f t="shared" si="44"/>
        <v>18.466666666666665</v>
      </c>
      <c r="C1188" s="20">
        <v>2</v>
      </c>
      <c r="D1188" s="23">
        <f t="shared" si="45"/>
        <v>4.6666666666666661</v>
      </c>
    </row>
    <row r="1189" spans="1:4">
      <c r="A1189">
        <v>1187</v>
      </c>
      <c r="B1189" s="23">
        <f t="shared" si="44"/>
        <v>18.433333333333334</v>
      </c>
      <c r="C1189" s="20">
        <v>2</v>
      </c>
      <c r="D1189" s="23">
        <f t="shared" si="45"/>
        <v>4.3333333333333339</v>
      </c>
    </row>
    <row r="1190" spans="1:4">
      <c r="A1190">
        <v>1188</v>
      </c>
      <c r="B1190" s="23">
        <f t="shared" si="44"/>
        <v>18.399999999999999</v>
      </c>
      <c r="C1190" s="20">
        <v>2</v>
      </c>
      <c r="D1190" s="23">
        <f t="shared" si="45"/>
        <v>4</v>
      </c>
    </row>
    <row r="1191" spans="1:4">
      <c r="A1191">
        <v>1189</v>
      </c>
      <c r="B1191" s="23">
        <f t="shared" si="44"/>
        <v>18.366666666666667</v>
      </c>
      <c r="C1191" s="20">
        <v>2</v>
      </c>
      <c r="D1191" s="23">
        <f t="shared" si="45"/>
        <v>3.6666666666666679</v>
      </c>
    </row>
    <row r="1192" spans="1:4">
      <c r="A1192">
        <v>1190</v>
      </c>
      <c r="B1192" s="23">
        <f t="shared" si="44"/>
        <v>18.333333333333332</v>
      </c>
      <c r="C1192" s="20">
        <v>2</v>
      </c>
      <c r="D1192" s="23">
        <f t="shared" si="45"/>
        <v>3.3333333333333321</v>
      </c>
    </row>
    <row r="1193" spans="1:4">
      <c r="A1193">
        <v>1191</v>
      </c>
      <c r="B1193" s="23">
        <f t="shared" si="44"/>
        <v>18.3</v>
      </c>
      <c r="C1193" s="20">
        <v>2</v>
      </c>
      <c r="D1193" s="23">
        <f t="shared" si="45"/>
        <v>3</v>
      </c>
    </row>
    <row r="1194" spans="1:4">
      <c r="A1194">
        <v>1192</v>
      </c>
      <c r="B1194" s="23">
        <f t="shared" si="44"/>
        <v>18.266666666666666</v>
      </c>
      <c r="C1194" s="20">
        <v>2</v>
      </c>
      <c r="D1194" s="23">
        <f t="shared" si="45"/>
        <v>2.6666666666666679</v>
      </c>
    </row>
    <row r="1195" spans="1:4">
      <c r="A1195">
        <v>1193</v>
      </c>
      <c r="B1195" s="23">
        <f t="shared" si="44"/>
        <v>18.233333333333334</v>
      </c>
      <c r="C1195" s="20">
        <v>2</v>
      </c>
      <c r="D1195" s="23">
        <f t="shared" si="45"/>
        <v>2.3333333333333321</v>
      </c>
    </row>
    <row r="1196" spans="1:4">
      <c r="A1196">
        <v>1194</v>
      </c>
      <c r="B1196" s="23">
        <f t="shared" si="44"/>
        <v>18.2</v>
      </c>
      <c r="C1196" s="20">
        <v>2</v>
      </c>
      <c r="D1196" s="23">
        <f t="shared" si="45"/>
        <v>2</v>
      </c>
    </row>
    <row r="1197" spans="1:4">
      <c r="A1197">
        <v>1195</v>
      </c>
      <c r="B1197" s="23">
        <f t="shared" si="44"/>
        <v>18.166666666666668</v>
      </c>
      <c r="C1197" s="20">
        <v>2</v>
      </c>
      <c r="D1197" s="23">
        <f t="shared" si="45"/>
        <v>1.6666666666666679</v>
      </c>
    </row>
    <row r="1198" spans="1:4">
      <c r="A1198">
        <v>1196</v>
      </c>
      <c r="B1198" s="23">
        <f t="shared" si="44"/>
        <v>18.133333333333333</v>
      </c>
      <c r="C1198" s="20">
        <v>2</v>
      </c>
      <c r="D1198" s="23">
        <f t="shared" si="45"/>
        <v>1.3333333333333321</v>
      </c>
    </row>
    <row r="1199" spans="1:4">
      <c r="A1199">
        <v>1197</v>
      </c>
      <c r="B1199" s="23">
        <f t="shared" si="44"/>
        <v>18.100000000000001</v>
      </c>
      <c r="C1199" s="20">
        <v>2</v>
      </c>
      <c r="D1199" s="23">
        <f t="shared" si="45"/>
        <v>1</v>
      </c>
    </row>
    <row r="1200" spans="1:4">
      <c r="A1200">
        <v>1198</v>
      </c>
      <c r="B1200" s="23">
        <f t="shared" si="44"/>
        <v>18.066666666666666</v>
      </c>
      <c r="C1200" s="20">
        <v>2</v>
      </c>
      <c r="D1200" s="23">
        <f t="shared" si="45"/>
        <v>0.66666666666666785</v>
      </c>
    </row>
    <row r="1201" spans="1:4">
      <c r="A1201">
        <v>1199</v>
      </c>
      <c r="B1201" s="23">
        <f t="shared" si="44"/>
        <v>18.033333333333335</v>
      </c>
      <c r="C1201" s="20">
        <v>2</v>
      </c>
      <c r="D1201" s="23">
        <f t="shared" si="45"/>
        <v>0.33333333333333215</v>
      </c>
    </row>
    <row r="1202" spans="1:4">
      <c r="A1202">
        <v>1200</v>
      </c>
      <c r="B1202" s="4">
        <v>18</v>
      </c>
      <c r="C1202" s="20">
        <v>2</v>
      </c>
      <c r="D1202" s="5">
        <v>0</v>
      </c>
    </row>
    <row r="1203" spans="1:4">
      <c r="A1203">
        <v>1201</v>
      </c>
      <c r="B1203" s="23">
        <f>-(A1203-$A$1202)*($B$1202-$B$1262)/60+$B$1202</f>
        <v>17.966666666666665</v>
      </c>
      <c r="C1203" s="23">
        <f>(A1203-$A$1202)*(-1)/60+2</f>
        <v>1.9833333333333334</v>
      </c>
      <c r="D1203" s="5">
        <v>0</v>
      </c>
    </row>
    <row r="1204" spans="1:4">
      <c r="A1204">
        <v>1202</v>
      </c>
      <c r="B1204" s="23">
        <f t="shared" ref="B1204:B1261" si="46">-(A1204-$A$1202)*($B$1202-$B$1262)/60+$B$1202</f>
        <v>17.933333333333334</v>
      </c>
      <c r="C1204" s="23">
        <f t="shared" ref="C1204:C1261" si="47">(A1204-$A$1202)*(-1)/60+2</f>
        <v>1.9666666666666666</v>
      </c>
      <c r="D1204" s="5">
        <v>0</v>
      </c>
    </row>
    <row r="1205" spans="1:4">
      <c r="A1205">
        <v>1203</v>
      </c>
      <c r="B1205" s="23">
        <f t="shared" si="46"/>
        <v>17.899999999999999</v>
      </c>
      <c r="C1205" s="23">
        <f t="shared" si="47"/>
        <v>1.95</v>
      </c>
      <c r="D1205" s="5">
        <v>0</v>
      </c>
    </row>
    <row r="1206" spans="1:4">
      <c r="A1206">
        <v>1204</v>
      </c>
      <c r="B1206" s="23">
        <f t="shared" si="46"/>
        <v>17.866666666666667</v>
      </c>
      <c r="C1206" s="23">
        <f t="shared" si="47"/>
        <v>1.9333333333333333</v>
      </c>
      <c r="D1206" s="5">
        <v>0</v>
      </c>
    </row>
    <row r="1207" spans="1:4">
      <c r="A1207">
        <v>1205</v>
      </c>
      <c r="B1207" s="23">
        <f t="shared" si="46"/>
        <v>17.833333333333332</v>
      </c>
      <c r="C1207" s="23">
        <f t="shared" si="47"/>
        <v>1.9166666666666667</v>
      </c>
      <c r="D1207" s="5">
        <v>0</v>
      </c>
    </row>
    <row r="1208" spans="1:4">
      <c r="A1208">
        <v>1206</v>
      </c>
      <c r="B1208" s="23">
        <f t="shared" si="46"/>
        <v>17.8</v>
      </c>
      <c r="C1208" s="23">
        <f t="shared" si="47"/>
        <v>1.9</v>
      </c>
      <c r="D1208" s="5">
        <v>0</v>
      </c>
    </row>
    <row r="1209" spans="1:4">
      <c r="A1209">
        <v>1207</v>
      </c>
      <c r="B1209" s="23">
        <f t="shared" si="46"/>
        <v>17.766666666666666</v>
      </c>
      <c r="C1209" s="23">
        <f t="shared" si="47"/>
        <v>1.8833333333333333</v>
      </c>
      <c r="D1209" s="5">
        <v>0</v>
      </c>
    </row>
    <row r="1210" spans="1:4">
      <c r="A1210">
        <v>1208</v>
      </c>
      <c r="B1210" s="23">
        <f t="shared" si="46"/>
        <v>17.733333333333334</v>
      </c>
      <c r="C1210" s="23">
        <f t="shared" si="47"/>
        <v>1.8666666666666667</v>
      </c>
      <c r="D1210" s="5">
        <v>0</v>
      </c>
    </row>
    <row r="1211" spans="1:4">
      <c r="A1211">
        <v>1209</v>
      </c>
      <c r="B1211" s="23">
        <f t="shared" si="46"/>
        <v>17.7</v>
      </c>
      <c r="C1211" s="23">
        <f t="shared" si="47"/>
        <v>1.85</v>
      </c>
      <c r="D1211" s="5">
        <v>0</v>
      </c>
    </row>
    <row r="1212" spans="1:4">
      <c r="A1212">
        <v>1210</v>
      </c>
      <c r="B1212" s="23">
        <f t="shared" si="46"/>
        <v>17.666666666666668</v>
      </c>
      <c r="C1212" s="23">
        <f t="shared" si="47"/>
        <v>1.8333333333333333</v>
      </c>
      <c r="D1212" s="5">
        <v>0</v>
      </c>
    </row>
    <row r="1213" spans="1:4">
      <c r="A1213">
        <v>1211</v>
      </c>
      <c r="B1213" s="23">
        <f t="shared" si="46"/>
        <v>17.633333333333333</v>
      </c>
      <c r="C1213" s="23">
        <f t="shared" si="47"/>
        <v>1.8166666666666667</v>
      </c>
      <c r="D1213" s="5">
        <v>0</v>
      </c>
    </row>
    <row r="1214" spans="1:4">
      <c r="A1214">
        <v>1212</v>
      </c>
      <c r="B1214" s="23">
        <f t="shared" si="46"/>
        <v>17.600000000000001</v>
      </c>
      <c r="C1214" s="23">
        <f t="shared" si="47"/>
        <v>1.8</v>
      </c>
      <c r="D1214" s="5">
        <v>0</v>
      </c>
    </row>
    <row r="1215" spans="1:4">
      <c r="A1215">
        <v>1213</v>
      </c>
      <c r="B1215" s="23">
        <f t="shared" si="46"/>
        <v>17.566666666666666</v>
      </c>
      <c r="C1215" s="23">
        <f t="shared" si="47"/>
        <v>1.7833333333333332</v>
      </c>
      <c r="D1215" s="5">
        <v>0</v>
      </c>
    </row>
    <row r="1216" spans="1:4">
      <c r="A1216">
        <v>1214</v>
      </c>
      <c r="B1216" s="23">
        <f t="shared" si="46"/>
        <v>17.533333333333335</v>
      </c>
      <c r="C1216" s="23">
        <f t="shared" si="47"/>
        <v>1.7666666666666666</v>
      </c>
      <c r="D1216" s="5">
        <v>0</v>
      </c>
    </row>
    <row r="1217" spans="1:4">
      <c r="A1217">
        <v>1215</v>
      </c>
      <c r="B1217" s="23">
        <f t="shared" si="46"/>
        <v>17.5</v>
      </c>
      <c r="C1217" s="23">
        <f t="shared" si="47"/>
        <v>1.75</v>
      </c>
      <c r="D1217" s="5">
        <v>0</v>
      </c>
    </row>
    <row r="1218" spans="1:4">
      <c r="A1218">
        <v>1216</v>
      </c>
      <c r="B1218" s="23">
        <f t="shared" si="46"/>
        <v>17.466666666666665</v>
      </c>
      <c r="C1218" s="23">
        <f t="shared" si="47"/>
        <v>1.7333333333333334</v>
      </c>
      <c r="D1218" s="5">
        <v>0</v>
      </c>
    </row>
    <row r="1219" spans="1:4">
      <c r="A1219">
        <v>1217</v>
      </c>
      <c r="B1219" s="23">
        <f t="shared" si="46"/>
        <v>17.433333333333334</v>
      </c>
      <c r="C1219" s="23">
        <f t="shared" si="47"/>
        <v>1.7166666666666668</v>
      </c>
      <c r="D1219" s="5">
        <v>0</v>
      </c>
    </row>
    <row r="1220" spans="1:4">
      <c r="A1220">
        <v>1218</v>
      </c>
      <c r="B1220" s="23">
        <f t="shared" si="46"/>
        <v>17.399999999999999</v>
      </c>
      <c r="C1220" s="23">
        <f t="shared" si="47"/>
        <v>1.7</v>
      </c>
      <c r="D1220" s="5">
        <v>0</v>
      </c>
    </row>
    <row r="1221" spans="1:4">
      <c r="A1221">
        <v>1219</v>
      </c>
      <c r="B1221" s="23">
        <f t="shared" si="46"/>
        <v>17.366666666666667</v>
      </c>
      <c r="C1221" s="23">
        <f t="shared" si="47"/>
        <v>1.6833333333333333</v>
      </c>
      <c r="D1221" s="5">
        <v>0</v>
      </c>
    </row>
    <row r="1222" spans="1:4">
      <c r="A1222">
        <v>1220</v>
      </c>
      <c r="B1222" s="23">
        <f t="shared" si="46"/>
        <v>17.333333333333332</v>
      </c>
      <c r="C1222" s="23">
        <f t="shared" si="47"/>
        <v>1.6666666666666667</v>
      </c>
      <c r="D1222" s="5">
        <v>0</v>
      </c>
    </row>
    <row r="1223" spans="1:4">
      <c r="A1223">
        <v>1221</v>
      </c>
      <c r="B1223" s="23">
        <f t="shared" si="46"/>
        <v>17.3</v>
      </c>
      <c r="C1223" s="23">
        <f t="shared" si="47"/>
        <v>1.65</v>
      </c>
      <c r="D1223" s="5">
        <v>0</v>
      </c>
    </row>
    <row r="1224" spans="1:4">
      <c r="A1224">
        <v>1222</v>
      </c>
      <c r="B1224" s="23">
        <f t="shared" si="46"/>
        <v>17.266666666666666</v>
      </c>
      <c r="C1224" s="23">
        <f t="shared" si="47"/>
        <v>1.6333333333333333</v>
      </c>
      <c r="D1224" s="5">
        <v>0</v>
      </c>
    </row>
    <row r="1225" spans="1:4">
      <c r="A1225">
        <v>1223</v>
      </c>
      <c r="B1225" s="23">
        <f t="shared" si="46"/>
        <v>17.233333333333334</v>
      </c>
      <c r="C1225" s="23">
        <f t="shared" si="47"/>
        <v>1.6166666666666667</v>
      </c>
      <c r="D1225" s="5">
        <v>0</v>
      </c>
    </row>
    <row r="1226" spans="1:4">
      <c r="A1226">
        <v>1224</v>
      </c>
      <c r="B1226" s="23">
        <f t="shared" si="46"/>
        <v>17.2</v>
      </c>
      <c r="C1226" s="23">
        <f t="shared" si="47"/>
        <v>1.6</v>
      </c>
      <c r="D1226" s="5">
        <v>0</v>
      </c>
    </row>
    <row r="1227" spans="1:4">
      <c r="A1227">
        <v>1225</v>
      </c>
      <c r="B1227" s="23">
        <f t="shared" si="46"/>
        <v>17.166666666666668</v>
      </c>
      <c r="C1227" s="23">
        <f t="shared" si="47"/>
        <v>1.5833333333333333</v>
      </c>
      <c r="D1227" s="5">
        <v>0</v>
      </c>
    </row>
    <row r="1228" spans="1:4">
      <c r="A1228">
        <v>1226</v>
      </c>
      <c r="B1228" s="23">
        <f t="shared" si="46"/>
        <v>17.133333333333333</v>
      </c>
      <c r="C1228" s="23">
        <f t="shared" si="47"/>
        <v>1.5666666666666667</v>
      </c>
      <c r="D1228" s="5">
        <v>0</v>
      </c>
    </row>
    <row r="1229" spans="1:4">
      <c r="A1229">
        <v>1227</v>
      </c>
      <c r="B1229" s="23">
        <f t="shared" si="46"/>
        <v>17.100000000000001</v>
      </c>
      <c r="C1229" s="23">
        <f t="shared" si="47"/>
        <v>1.55</v>
      </c>
      <c r="D1229" s="5">
        <v>0</v>
      </c>
    </row>
    <row r="1230" spans="1:4">
      <c r="A1230">
        <v>1228</v>
      </c>
      <c r="B1230" s="23">
        <f t="shared" si="46"/>
        <v>17.066666666666666</v>
      </c>
      <c r="C1230" s="23">
        <f t="shared" si="47"/>
        <v>1.5333333333333332</v>
      </c>
      <c r="D1230" s="5">
        <v>0</v>
      </c>
    </row>
    <row r="1231" spans="1:4">
      <c r="A1231">
        <v>1229</v>
      </c>
      <c r="B1231" s="23">
        <f t="shared" si="46"/>
        <v>17.033333333333335</v>
      </c>
      <c r="C1231" s="23">
        <f t="shared" si="47"/>
        <v>1.5166666666666666</v>
      </c>
      <c r="D1231" s="5">
        <v>0</v>
      </c>
    </row>
    <row r="1232" spans="1:4">
      <c r="A1232">
        <v>1230</v>
      </c>
      <c r="B1232" s="23">
        <f t="shared" si="46"/>
        <v>17</v>
      </c>
      <c r="C1232" s="23">
        <f t="shared" si="47"/>
        <v>1.5</v>
      </c>
      <c r="D1232" s="5">
        <v>0</v>
      </c>
    </row>
    <row r="1233" spans="1:4">
      <c r="A1233">
        <v>1231</v>
      </c>
      <c r="B1233" s="23">
        <f t="shared" si="46"/>
        <v>16.966666666666665</v>
      </c>
      <c r="C1233" s="23">
        <f t="shared" si="47"/>
        <v>1.4833333333333334</v>
      </c>
      <c r="D1233" s="5">
        <v>0</v>
      </c>
    </row>
    <row r="1234" spans="1:4">
      <c r="A1234">
        <v>1232</v>
      </c>
      <c r="B1234" s="23">
        <f t="shared" si="46"/>
        <v>16.933333333333334</v>
      </c>
      <c r="C1234" s="23">
        <f t="shared" si="47"/>
        <v>1.4666666666666668</v>
      </c>
      <c r="D1234" s="5">
        <v>0</v>
      </c>
    </row>
    <row r="1235" spans="1:4">
      <c r="A1235">
        <v>1233</v>
      </c>
      <c r="B1235" s="23">
        <f t="shared" si="46"/>
        <v>16.899999999999999</v>
      </c>
      <c r="C1235" s="23">
        <f t="shared" si="47"/>
        <v>1.45</v>
      </c>
      <c r="D1235" s="5">
        <v>0</v>
      </c>
    </row>
    <row r="1236" spans="1:4">
      <c r="A1236">
        <v>1234</v>
      </c>
      <c r="B1236" s="23">
        <f t="shared" si="46"/>
        <v>16.866666666666667</v>
      </c>
      <c r="C1236" s="23">
        <f t="shared" si="47"/>
        <v>1.4333333333333333</v>
      </c>
      <c r="D1236" s="5">
        <v>0</v>
      </c>
    </row>
    <row r="1237" spans="1:4">
      <c r="A1237">
        <v>1235</v>
      </c>
      <c r="B1237" s="23">
        <f t="shared" si="46"/>
        <v>16.833333333333332</v>
      </c>
      <c r="C1237" s="23">
        <f t="shared" si="47"/>
        <v>1.4166666666666665</v>
      </c>
      <c r="D1237" s="5">
        <v>0</v>
      </c>
    </row>
    <row r="1238" spans="1:4">
      <c r="A1238">
        <v>1236</v>
      </c>
      <c r="B1238" s="23">
        <f t="shared" si="46"/>
        <v>16.8</v>
      </c>
      <c r="C1238" s="23">
        <f t="shared" si="47"/>
        <v>1.4</v>
      </c>
      <c r="D1238" s="5">
        <v>0</v>
      </c>
    </row>
    <row r="1239" spans="1:4">
      <c r="A1239">
        <v>1237</v>
      </c>
      <c r="B1239" s="23">
        <f t="shared" si="46"/>
        <v>16.766666666666666</v>
      </c>
      <c r="C1239" s="23">
        <f t="shared" si="47"/>
        <v>1.3833333333333333</v>
      </c>
      <c r="D1239" s="5">
        <v>0</v>
      </c>
    </row>
    <row r="1240" spans="1:4">
      <c r="A1240">
        <v>1238</v>
      </c>
      <c r="B1240" s="23">
        <f t="shared" si="46"/>
        <v>16.733333333333334</v>
      </c>
      <c r="C1240" s="23">
        <f t="shared" si="47"/>
        <v>1.3666666666666667</v>
      </c>
      <c r="D1240" s="5">
        <v>0</v>
      </c>
    </row>
    <row r="1241" spans="1:4">
      <c r="A1241">
        <v>1239</v>
      </c>
      <c r="B1241" s="23">
        <f t="shared" si="46"/>
        <v>16.7</v>
      </c>
      <c r="C1241" s="23">
        <f t="shared" si="47"/>
        <v>1.35</v>
      </c>
      <c r="D1241" s="5">
        <v>0</v>
      </c>
    </row>
    <row r="1242" spans="1:4">
      <c r="A1242">
        <v>1240</v>
      </c>
      <c r="B1242" s="23">
        <f t="shared" si="46"/>
        <v>16.666666666666668</v>
      </c>
      <c r="C1242" s="23">
        <f t="shared" si="47"/>
        <v>1.3333333333333335</v>
      </c>
      <c r="D1242" s="5">
        <v>0</v>
      </c>
    </row>
    <row r="1243" spans="1:4">
      <c r="A1243">
        <v>1241</v>
      </c>
      <c r="B1243" s="23">
        <f t="shared" si="46"/>
        <v>16.633333333333333</v>
      </c>
      <c r="C1243" s="23">
        <f t="shared" si="47"/>
        <v>1.3166666666666667</v>
      </c>
      <c r="D1243" s="5">
        <v>0</v>
      </c>
    </row>
    <row r="1244" spans="1:4">
      <c r="A1244">
        <v>1242</v>
      </c>
      <c r="B1244" s="23">
        <f t="shared" si="46"/>
        <v>16.600000000000001</v>
      </c>
      <c r="C1244" s="23">
        <f t="shared" si="47"/>
        <v>1.3</v>
      </c>
      <c r="D1244" s="5">
        <v>0</v>
      </c>
    </row>
    <row r="1245" spans="1:4">
      <c r="A1245">
        <v>1243</v>
      </c>
      <c r="B1245" s="23">
        <f t="shared" si="46"/>
        <v>16.566666666666666</v>
      </c>
      <c r="C1245" s="23">
        <f t="shared" si="47"/>
        <v>1.2833333333333332</v>
      </c>
      <c r="D1245" s="5">
        <v>0</v>
      </c>
    </row>
    <row r="1246" spans="1:4">
      <c r="A1246">
        <v>1244</v>
      </c>
      <c r="B1246" s="23">
        <f t="shared" si="46"/>
        <v>16.533333333333335</v>
      </c>
      <c r="C1246" s="23">
        <f t="shared" si="47"/>
        <v>1.2666666666666666</v>
      </c>
      <c r="D1246" s="5">
        <v>0</v>
      </c>
    </row>
    <row r="1247" spans="1:4">
      <c r="A1247">
        <v>1245</v>
      </c>
      <c r="B1247" s="23">
        <f t="shared" si="46"/>
        <v>16.5</v>
      </c>
      <c r="C1247" s="23">
        <f t="shared" si="47"/>
        <v>1.25</v>
      </c>
      <c r="D1247" s="5">
        <v>0</v>
      </c>
    </row>
    <row r="1248" spans="1:4">
      <c r="A1248">
        <v>1246</v>
      </c>
      <c r="B1248" s="23">
        <f t="shared" si="46"/>
        <v>16.466666666666665</v>
      </c>
      <c r="C1248" s="23">
        <f t="shared" si="47"/>
        <v>1.2333333333333334</v>
      </c>
      <c r="D1248" s="5">
        <v>0</v>
      </c>
    </row>
    <row r="1249" spans="1:4">
      <c r="A1249">
        <v>1247</v>
      </c>
      <c r="B1249" s="23">
        <f t="shared" si="46"/>
        <v>16.433333333333334</v>
      </c>
      <c r="C1249" s="23">
        <f t="shared" si="47"/>
        <v>1.2166666666666668</v>
      </c>
      <c r="D1249" s="5">
        <v>0</v>
      </c>
    </row>
    <row r="1250" spans="1:4">
      <c r="A1250">
        <v>1248</v>
      </c>
      <c r="B1250" s="23">
        <f t="shared" si="46"/>
        <v>16.399999999999999</v>
      </c>
      <c r="C1250" s="23">
        <f t="shared" si="47"/>
        <v>1.2</v>
      </c>
      <c r="D1250" s="5">
        <v>0</v>
      </c>
    </row>
    <row r="1251" spans="1:4">
      <c r="A1251">
        <v>1249</v>
      </c>
      <c r="B1251" s="23">
        <f t="shared" si="46"/>
        <v>16.366666666666667</v>
      </c>
      <c r="C1251" s="23">
        <f t="shared" si="47"/>
        <v>1.1833333333333333</v>
      </c>
      <c r="D1251" s="5">
        <v>0</v>
      </c>
    </row>
    <row r="1252" spans="1:4">
      <c r="A1252">
        <v>1250</v>
      </c>
      <c r="B1252" s="23">
        <f t="shared" si="46"/>
        <v>16.333333333333332</v>
      </c>
      <c r="C1252" s="23">
        <f t="shared" si="47"/>
        <v>1.1666666666666665</v>
      </c>
      <c r="D1252" s="5">
        <v>0</v>
      </c>
    </row>
    <row r="1253" spans="1:4">
      <c r="A1253">
        <v>1251</v>
      </c>
      <c r="B1253" s="23">
        <f t="shared" si="46"/>
        <v>16.3</v>
      </c>
      <c r="C1253" s="23">
        <f t="shared" si="47"/>
        <v>1.1499999999999999</v>
      </c>
      <c r="D1253" s="5">
        <v>0</v>
      </c>
    </row>
    <row r="1254" spans="1:4">
      <c r="A1254">
        <v>1252</v>
      </c>
      <c r="B1254" s="23">
        <f t="shared" si="46"/>
        <v>16.266666666666666</v>
      </c>
      <c r="C1254" s="23">
        <f t="shared" si="47"/>
        <v>1.1333333333333333</v>
      </c>
      <c r="D1254" s="5">
        <v>0</v>
      </c>
    </row>
    <row r="1255" spans="1:4">
      <c r="A1255">
        <v>1253</v>
      </c>
      <c r="B1255" s="23">
        <f t="shared" si="46"/>
        <v>16.233333333333334</v>
      </c>
      <c r="C1255" s="23">
        <f t="shared" si="47"/>
        <v>1.1166666666666667</v>
      </c>
      <c r="D1255" s="5">
        <v>0</v>
      </c>
    </row>
    <row r="1256" spans="1:4">
      <c r="A1256">
        <v>1254</v>
      </c>
      <c r="B1256" s="23">
        <f t="shared" si="46"/>
        <v>16.2</v>
      </c>
      <c r="C1256" s="23">
        <f t="shared" si="47"/>
        <v>1.1000000000000001</v>
      </c>
      <c r="D1256" s="5">
        <v>0</v>
      </c>
    </row>
    <row r="1257" spans="1:4">
      <c r="A1257">
        <v>1255</v>
      </c>
      <c r="B1257" s="23">
        <f t="shared" si="46"/>
        <v>16.166666666666668</v>
      </c>
      <c r="C1257" s="23">
        <f t="shared" si="47"/>
        <v>1.0833333333333335</v>
      </c>
      <c r="D1257" s="5">
        <v>0</v>
      </c>
    </row>
    <row r="1258" spans="1:4">
      <c r="A1258">
        <v>1256</v>
      </c>
      <c r="B1258" s="23">
        <f t="shared" si="46"/>
        <v>16.133333333333333</v>
      </c>
      <c r="C1258" s="23">
        <f t="shared" si="47"/>
        <v>1.0666666666666667</v>
      </c>
      <c r="D1258" s="5">
        <v>0</v>
      </c>
    </row>
    <row r="1259" spans="1:4">
      <c r="A1259">
        <v>1257</v>
      </c>
      <c r="B1259" s="23">
        <f t="shared" si="46"/>
        <v>16.100000000000001</v>
      </c>
      <c r="C1259" s="23">
        <f t="shared" si="47"/>
        <v>1.05</v>
      </c>
      <c r="D1259" s="5">
        <v>0</v>
      </c>
    </row>
    <row r="1260" spans="1:4">
      <c r="A1260">
        <v>1258</v>
      </c>
      <c r="B1260" s="23">
        <f t="shared" si="46"/>
        <v>16.066666666666666</v>
      </c>
      <c r="C1260" s="23">
        <f t="shared" si="47"/>
        <v>1.0333333333333332</v>
      </c>
      <c r="D1260" s="5">
        <v>0</v>
      </c>
    </row>
    <row r="1261" spans="1:4">
      <c r="A1261">
        <v>1259</v>
      </c>
      <c r="B1261" s="23">
        <f t="shared" si="46"/>
        <v>16.033333333333335</v>
      </c>
      <c r="C1261" s="23">
        <f t="shared" si="47"/>
        <v>1.0166666666666666</v>
      </c>
      <c r="D1261" s="5">
        <v>0</v>
      </c>
    </row>
    <row r="1262" spans="1:4">
      <c r="A1262">
        <v>1260</v>
      </c>
      <c r="B1262" s="4">
        <v>16</v>
      </c>
      <c r="C1262" s="20">
        <v>1</v>
      </c>
      <c r="D1262" s="5">
        <v>0</v>
      </c>
    </row>
    <row r="1263" spans="1:4">
      <c r="A1263">
        <v>1261</v>
      </c>
      <c r="B1263" s="23">
        <f>$B$1262-(A1263-$A$1262)*($B$1262-$B$1322)/60</f>
        <v>15.983333333333333</v>
      </c>
      <c r="C1263" s="20">
        <v>1</v>
      </c>
      <c r="D1263" s="5">
        <v>0</v>
      </c>
    </row>
    <row r="1264" spans="1:4">
      <c r="A1264">
        <v>1262</v>
      </c>
      <c r="B1264" s="23">
        <f t="shared" ref="B1264:B1321" si="48">$B$1262-(A1264-$A$1262)*($B$1262-$B$1322)/60</f>
        <v>15.966666666666667</v>
      </c>
      <c r="C1264" s="20">
        <v>1</v>
      </c>
      <c r="D1264" s="5">
        <v>0</v>
      </c>
    </row>
    <row r="1265" spans="1:4">
      <c r="A1265">
        <v>1263</v>
      </c>
      <c r="B1265" s="23">
        <f t="shared" si="48"/>
        <v>15.95</v>
      </c>
      <c r="C1265" s="20">
        <v>1</v>
      </c>
      <c r="D1265" s="5">
        <v>0</v>
      </c>
    </row>
    <row r="1266" spans="1:4">
      <c r="A1266">
        <v>1264</v>
      </c>
      <c r="B1266" s="23">
        <f t="shared" si="48"/>
        <v>15.933333333333334</v>
      </c>
      <c r="C1266" s="20">
        <v>1</v>
      </c>
      <c r="D1266" s="5">
        <v>0</v>
      </c>
    </row>
    <row r="1267" spans="1:4">
      <c r="A1267">
        <v>1265</v>
      </c>
      <c r="B1267" s="23">
        <f t="shared" si="48"/>
        <v>15.916666666666666</v>
      </c>
      <c r="C1267" s="20">
        <v>1</v>
      </c>
      <c r="D1267" s="5">
        <v>0</v>
      </c>
    </row>
    <row r="1268" spans="1:4">
      <c r="A1268">
        <v>1266</v>
      </c>
      <c r="B1268" s="23">
        <f t="shared" si="48"/>
        <v>15.9</v>
      </c>
      <c r="C1268" s="20">
        <v>1</v>
      </c>
      <c r="D1268" s="5">
        <v>0</v>
      </c>
    </row>
    <row r="1269" spans="1:4">
      <c r="A1269">
        <v>1267</v>
      </c>
      <c r="B1269" s="23">
        <f t="shared" si="48"/>
        <v>15.883333333333333</v>
      </c>
      <c r="C1269" s="20">
        <v>1</v>
      </c>
      <c r="D1269" s="5">
        <v>0</v>
      </c>
    </row>
    <row r="1270" spans="1:4">
      <c r="A1270">
        <v>1268</v>
      </c>
      <c r="B1270" s="23">
        <f t="shared" si="48"/>
        <v>15.866666666666667</v>
      </c>
      <c r="C1270" s="20">
        <v>1</v>
      </c>
      <c r="D1270" s="5">
        <v>0</v>
      </c>
    </row>
    <row r="1271" spans="1:4">
      <c r="A1271">
        <v>1269</v>
      </c>
      <c r="B1271" s="23">
        <f t="shared" si="48"/>
        <v>15.85</v>
      </c>
      <c r="C1271" s="20">
        <v>1</v>
      </c>
      <c r="D1271" s="5">
        <v>0</v>
      </c>
    </row>
    <row r="1272" spans="1:4">
      <c r="A1272">
        <v>1270</v>
      </c>
      <c r="B1272" s="23">
        <f t="shared" si="48"/>
        <v>15.833333333333334</v>
      </c>
      <c r="C1272" s="20">
        <v>1</v>
      </c>
      <c r="D1272" s="5">
        <v>0</v>
      </c>
    </row>
    <row r="1273" spans="1:4">
      <c r="A1273">
        <v>1271</v>
      </c>
      <c r="B1273" s="23">
        <f t="shared" si="48"/>
        <v>15.816666666666666</v>
      </c>
      <c r="C1273" s="20">
        <v>1</v>
      </c>
      <c r="D1273" s="5">
        <v>0</v>
      </c>
    </row>
    <row r="1274" spans="1:4">
      <c r="A1274">
        <v>1272</v>
      </c>
      <c r="B1274" s="23">
        <f t="shared" si="48"/>
        <v>15.8</v>
      </c>
      <c r="C1274" s="20">
        <v>1</v>
      </c>
      <c r="D1274" s="5">
        <v>0</v>
      </c>
    </row>
    <row r="1275" spans="1:4">
      <c r="A1275">
        <v>1273</v>
      </c>
      <c r="B1275" s="23">
        <f t="shared" si="48"/>
        <v>15.783333333333333</v>
      </c>
      <c r="C1275" s="20">
        <v>1</v>
      </c>
      <c r="D1275" s="5">
        <v>0</v>
      </c>
    </row>
    <row r="1276" spans="1:4">
      <c r="A1276">
        <v>1274</v>
      </c>
      <c r="B1276" s="23">
        <f t="shared" si="48"/>
        <v>15.766666666666667</v>
      </c>
      <c r="C1276" s="20">
        <v>1</v>
      </c>
      <c r="D1276" s="5">
        <v>0</v>
      </c>
    </row>
    <row r="1277" spans="1:4">
      <c r="A1277">
        <v>1275</v>
      </c>
      <c r="B1277" s="23">
        <f t="shared" si="48"/>
        <v>15.75</v>
      </c>
      <c r="C1277" s="20">
        <v>1</v>
      </c>
      <c r="D1277" s="5">
        <v>0</v>
      </c>
    </row>
    <row r="1278" spans="1:4">
      <c r="A1278">
        <v>1276</v>
      </c>
      <c r="B1278" s="23">
        <f t="shared" si="48"/>
        <v>15.733333333333333</v>
      </c>
      <c r="C1278" s="20">
        <v>1</v>
      </c>
      <c r="D1278" s="5">
        <v>0</v>
      </c>
    </row>
    <row r="1279" spans="1:4">
      <c r="A1279">
        <v>1277</v>
      </c>
      <c r="B1279" s="23">
        <f t="shared" si="48"/>
        <v>15.716666666666667</v>
      </c>
      <c r="C1279" s="20">
        <v>1</v>
      </c>
      <c r="D1279" s="5">
        <v>0</v>
      </c>
    </row>
    <row r="1280" spans="1:4">
      <c r="A1280">
        <v>1278</v>
      </c>
      <c r="B1280" s="23">
        <f t="shared" si="48"/>
        <v>15.7</v>
      </c>
      <c r="C1280" s="20">
        <v>1</v>
      </c>
      <c r="D1280" s="5">
        <v>0</v>
      </c>
    </row>
    <row r="1281" spans="1:4">
      <c r="A1281">
        <v>1279</v>
      </c>
      <c r="B1281" s="23">
        <f t="shared" si="48"/>
        <v>15.683333333333334</v>
      </c>
      <c r="C1281" s="20">
        <v>1</v>
      </c>
      <c r="D1281" s="5">
        <v>0</v>
      </c>
    </row>
    <row r="1282" spans="1:4">
      <c r="A1282">
        <v>1280</v>
      </c>
      <c r="B1282" s="23">
        <f t="shared" si="48"/>
        <v>15.666666666666666</v>
      </c>
      <c r="C1282" s="20">
        <v>1</v>
      </c>
      <c r="D1282" s="5">
        <v>0</v>
      </c>
    </row>
    <row r="1283" spans="1:4">
      <c r="A1283">
        <v>1281</v>
      </c>
      <c r="B1283" s="23">
        <f t="shared" si="48"/>
        <v>15.65</v>
      </c>
      <c r="C1283" s="20">
        <v>1</v>
      </c>
      <c r="D1283" s="5">
        <v>0</v>
      </c>
    </row>
    <row r="1284" spans="1:4">
      <c r="A1284">
        <v>1282</v>
      </c>
      <c r="B1284" s="23">
        <f t="shared" si="48"/>
        <v>15.633333333333333</v>
      </c>
      <c r="C1284" s="20">
        <v>1</v>
      </c>
      <c r="D1284" s="5">
        <v>0</v>
      </c>
    </row>
    <row r="1285" spans="1:4">
      <c r="A1285">
        <v>1283</v>
      </c>
      <c r="B1285" s="23">
        <f t="shared" si="48"/>
        <v>15.616666666666667</v>
      </c>
      <c r="C1285" s="20">
        <v>1</v>
      </c>
      <c r="D1285" s="5">
        <v>0</v>
      </c>
    </row>
    <row r="1286" spans="1:4">
      <c r="A1286">
        <v>1284</v>
      </c>
      <c r="B1286" s="23">
        <f t="shared" si="48"/>
        <v>15.6</v>
      </c>
      <c r="C1286" s="20">
        <v>1</v>
      </c>
      <c r="D1286" s="5">
        <v>0</v>
      </c>
    </row>
    <row r="1287" spans="1:4">
      <c r="A1287">
        <v>1285</v>
      </c>
      <c r="B1287" s="23">
        <f t="shared" si="48"/>
        <v>15.583333333333334</v>
      </c>
      <c r="C1287" s="20">
        <v>1</v>
      </c>
      <c r="D1287" s="5">
        <v>0</v>
      </c>
    </row>
    <row r="1288" spans="1:4">
      <c r="A1288">
        <v>1286</v>
      </c>
      <c r="B1288" s="23">
        <f t="shared" si="48"/>
        <v>15.566666666666666</v>
      </c>
      <c r="C1288" s="20">
        <v>1</v>
      </c>
      <c r="D1288" s="5">
        <v>0</v>
      </c>
    </row>
    <row r="1289" spans="1:4">
      <c r="A1289">
        <v>1287</v>
      </c>
      <c r="B1289" s="23">
        <f t="shared" si="48"/>
        <v>15.55</v>
      </c>
      <c r="C1289" s="20">
        <v>1</v>
      </c>
      <c r="D1289" s="5">
        <v>0</v>
      </c>
    </row>
    <row r="1290" spans="1:4">
      <c r="A1290">
        <v>1288</v>
      </c>
      <c r="B1290" s="23">
        <f t="shared" si="48"/>
        <v>15.533333333333333</v>
      </c>
      <c r="C1290" s="20">
        <v>1</v>
      </c>
      <c r="D1290" s="5">
        <v>0</v>
      </c>
    </row>
    <row r="1291" spans="1:4">
      <c r="A1291">
        <v>1289</v>
      </c>
      <c r="B1291" s="23">
        <f t="shared" si="48"/>
        <v>15.516666666666667</v>
      </c>
      <c r="C1291" s="20">
        <v>1</v>
      </c>
      <c r="D1291" s="5">
        <v>0</v>
      </c>
    </row>
    <row r="1292" spans="1:4">
      <c r="A1292">
        <v>1290</v>
      </c>
      <c r="B1292" s="23">
        <f t="shared" si="48"/>
        <v>15.5</v>
      </c>
      <c r="C1292" s="20">
        <v>1</v>
      </c>
      <c r="D1292" s="5">
        <v>0</v>
      </c>
    </row>
    <row r="1293" spans="1:4">
      <c r="A1293">
        <v>1291</v>
      </c>
      <c r="B1293" s="23">
        <f t="shared" si="48"/>
        <v>15.483333333333333</v>
      </c>
      <c r="C1293" s="20">
        <v>1</v>
      </c>
      <c r="D1293" s="5">
        <v>0</v>
      </c>
    </row>
    <row r="1294" spans="1:4">
      <c r="A1294">
        <v>1292</v>
      </c>
      <c r="B1294" s="23">
        <f t="shared" si="48"/>
        <v>15.466666666666667</v>
      </c>
      <c r="C1294" s="20">
        <v>1</v>
      </c>
      <c r="D1294" s="5">
        <v>0</v>
      </c>
    </row>
    <row r="1295" spans="1:4">
      <c r="A1295">
        <v>1293</v>
      </c>
      <c r="B1295" s="23">
        <f t="shared" si="48"/>
        <v>15.45</v>
      </c>
      <c r="C1295" s="20">
        <v>1</v>
      </c>
      <c r="D1295" s="5">
        <v>0</v>
      </c>
    </row>
    <row r="1296" spans="1:4">
      <c r="A1296">
        <v>1294</v>
      </c>
      <c r="B1296" s="23">
        <f t="shared" si="48"/>
        <v>15.433333333333334</v>
      </c>
      <c r="C1296" s="20">
        <v>1</v>
      </c>
      <c r="D1296" s="5">
        <v>0</v>
      </c>
    </row>
    <row r="1297" spans="1:4">
      <c r="A1297">
        <v>1295</v>
      </c>
      <c r="B1297" s="23">
        <f t="shared" si="48"/>
        <v>15.416666666666666</v>
      </c>
      <c r="C1297" s="20">
        <v>1</v>
      </c>
      <c r="D1297" s="5">
        <v>0</v>
      </c>
    </row>
    <row r="1298" spans="1:4">
      <c r="A1298">
        <v>1296</v>
      </c>
      <c r="B1298" s="23">
        <f t="shared" si="48"/>
        <v>15.4</v>
      </c>
      <c r="C1298" s="20">
        <v>1</v>
      </c>
      <c r="D1298" s="5">
        <v>0</v>
      </c>
    </row>
    <row r="1299" spans="1:4">
      <c r="A1299">
        <v>1297</v>
      </c>
      <c r="B1299" s="23">
        <f t="shared" si="48"/>
        <v>15.383333333333333</v>
      </c>
      <c r="C1299" s="20">
        <v>1</v>
      </c>
      <c r="D1299" s="5">
        <v>0</v>
      </c>
    </row>
    <row r="1300" spans="1:4">
      <c r="A1300">
        <v>1298</v>
      </c>
      <c r="B1300" s="23">
        <f t="shared" si="48"/>
        <v>15.366666666666667</v>
      </c>
      <c r="C1300" s="20">
        <v>1</v>
      </c>
      <c r="D1300" s="5">
        <v>0</v>
      </c>
    </row>
    <row r="1301" spans="1:4">
      <c r="A1301">
        <v>1299</v>
      </c>
      <c r="B1301" s="23">
        <f t="shared" si="48"/>
        <v>15.35</v>
      </c>
      <c r="C1301" s="20">
        <v>1</v>
      </c>
      <c r="D1301" s="5">
        <v>0</v>
      </c>
    </row>
    <row r="1302" spans="1:4">
      <c r="A1302">
        <v>1300</v>
      </c>
      <c r="B1302" s="23">
        <f t="shared" si="48"/>
        <v>15.333333333333334</v>
      </c>
      <c r="C1302" s="20">
        <v>1</v>
      </c>
      <c r="D1302" s="5">
        <v>0</v>
      </c>
    </row>
    <row r="1303" spans="1:4">
      <c r="A1303">
        <v>1301</v>
      </c>
      <c r="B1303" s="23">
        <f t="shared" si="48"/>
        <v>15.316666666666666</v>
      </c>
      <c r="C1303" s="20">
        <v>1</v>
      </c>
      <c r="D1303" s="5">
        <v>0</v>
      </c>
    </row>
    <row r="1304" spans="1:4">
      <c r="A1304">
        <v>1302</v>
      </c>
      <c r="B1304" s="23">
        <f t="shared" si="48"/>
        <v>15.3</v>
      </c>
      <c r="C1304" s="20">
        <v>1</v>
      </c>
      <c r="D1304" s="5">
        <v>0</v>
      </c>
    </row>
    <row r="1305" spans="1:4">
      <c r="A1305">
        <v>1303</v>
      </c>
      <c r="B1305" s="23">
        <f t="shared" si="48"/>
        <v>15.283333333333333</v>
      </c>
      <c r="C1305" s="20">
        <v>1</v>
      </c>
      <c r="D1305" s="5">
        <v>0</v>
      </c>
    </row>
    <row r="1306" spans="1:4">
      <c r="A1306">
        <v>1304</v>
      </c>
      <c r="B1306" s="23">
        <f t="shared" si="48"/>
        <v>15.266666666666667</v>
      </c>
      <c r="C1306" s="20">
        <v>1</v>
      </c>
      <c r="D1306" s="5">
        <v>0</v>
      </c>
    </row>
    <row r="1307" spans="1:4">
      <c r="A1307">
        <v>1305</v>
      </c>
      <c r="B1307" s="23">
        <f t="shared" si="48"/>
        <v>15.25</v>
      </c>
      <c r="C1307" s="20">
        <v>1</v>
      </c>
      <c r="D1307" s="5">
        <v>0</v>
      </c>
    </row>
    <row r="1308" spans="1:4">
      <c r="A1308">
        <v>1306</v>
      </c>
      <c r="B1308" s="23">
        <f t="shared" si="48"/>
        <v>15.233333333333333</v>
      </c>
      <c r="C1308" s="20">
        <v>1</v>
      </c>
      <c r="D1308" s="5">
        <v>0</v>
      </c>
    </row>
    <row r="1309" spans="1:4">
      <c r="A1309">
        <v>1307</v>
      </c>
      <c r="B1309" s="23">
        <f t="shared" si="48"/>
        <v>15.216666666666667</v>
      </c>
      <c r="C1309" s="20">
        <v>1</v>
      </c>
      <c r="D1309" s="5">
        <v>0</v>
      </c>
    </row>
    <row r="1310" spans="1:4">
      <c r="A1310">
        <v>1308</v>
      </c>
      <c r="B1310" s="23">
        <f t="shared" si="48"/>
        <v>15.2</v>
      </c>
      <c r="C1310" s="20">
        <v>1</v>
      </c>
      <c r="D1310" s="5">
        <v>0</v>
      </c>
    </row>
    <row r="1311" spans="1:4">
      <c r="A1311">
        <v>1309</v>
      </c>
      <c r="B1311" s="23">
        <f t="shared" si="48"/>
        <v>15.183333333333334</v>
      </c>
      <c r="C1311" s="20">
        <v>1</v>
      </c>
      <c r="D1311" s="5">
        <v>0</v>
      </c>
    </row>
    <row r="1312" spans="1:4">
      <c r="A1312">
        <v>1310</v>
      </c>
      <c r="B1312" s="23">
        <f t="shared" si="48"/>
        <v>15.166666666666666</v>
      </c>
      <c r="C1312" s="20">
        <v>1</v>
      </c>
      <c r="D1312" s="5">
        <v>0</v>
      </c>
    </row>
    <row r="1313" spans="1:4">
      <c r="A1313">
        <v>1311</v>
      </c>
      <c r="B1313" s="23">
        <f t="shared" si="48"/>
        <v>15.15</v>
      </c>
      <c r="C1313" s="20">
        <v>1</v>
      </c>
      <c r="D1313" s="5">
        <v>0</v>
      </c>
    </row>
    <row r="1314" spans="1:4">
      <c r="A1314">
        <v>1312</v>
      </c>
      <c r="B1314" s="23">
        <f t="shared" si="48"/>
        <v>15.133333333333333</v>
      </c>
      <c r="C1314" s="20">
        <v>1</v>
      </c>
      <c r="D1314" s="5">
        <v>0</v>
      </c>
    </row>
    <row r="1315" spans="1:4">
      <c r="A1315">
        <v>1313</v>
      </c>
      <c r="B1315" s="23">
        <f t="shared" si="48"/>
        <v>15.116666666666667</v>
      </c>
      <c r="C1315" s="20">
        <v>1</v>
      </c>
      <c r="D1315" s="5">
        <v>0</v>
      </c>
    </row>
    <row r="1316" spans="1:4">
      <c r="A1316">
        <v>1314</v>
      </c>
      <c r="B1316" s="23">
        <f t="shared" si="48"/>
        <v>15.1</v>
      </c>
      <c r="C1316" s="20">
        <v>1</v>
      </c>
      <c r="D1316" s="5">
        <v>0</v>
      </c>
    </row>
    <row r="1317" spans="1:4">
      <c r="A1317">
        <v>1315</v>
      </c>
      <c r="B1317" s="23">
        <f t="shared" si="48"/>
        <v>15.083333333333334</v>
      </c>
      <c r="C1317" s="20">
        <v>1</v>
      </c>
      <c r="D1317" s="5">
        <v>0</v>
      </c>
    </row>
    <row r="1318" spans="1:4">
      <c r="A1318">
        <v>1316</v>
      </c>
      <c r="B1318" s="23">
        <f t="shared" si="48"/>
        <v>15.066666666666666</v>
      </c>
      <c r="C1318" s="20">
        <v>1</v>
      </c>
      <c r="D1318" s="5">
        <v>0</v>
      </c>
    </row>
    <row r="1319" spans="1:4">
      <c r="A1319">
        <v>1317</v>
      </c>
      <c r="B1319" s="23">
        <f t="shared" si="48"/>
        <v>15.05</v>
      </c>
      <c r="C1319" s="20">
        <v>1</v>
      </c>
      <c r="D1319" s="5">
        <v>0</v>
      </c>
    </row>
    <row r="1320" spans="1:4">
      <c r="A1320">
        <v>1318</v>
      </c>
      <c r="B1320" s="23">
        <f t="shared" si="48"/>
        <v>15.033333333333333</v>
      </c>
      <c r="C1320" s="20">
        <v>1</v>
      </c>
      <c r="D1320" s="5">
        <v>0</v>
      </c>
    </row>
    <row r="1321" spans="1:4">
      <c r="A1321">
        <v>1319</v>
      </c>
      <c r="B1321" s="23">
        <f t="shared" si="48"/>
        <v>15.016666666666667</v>
      </c>
      <c r="C1321" s="20">
        <v>1</v>
      </c>
      <c r="D1321" s="5">
        <v>0</v>
      </c>
    </row>
    <row r="1322" spans="1:4">
      <c r="A1322">
        <v>1320</v>
      </c>
      <c r="B1322" s="4">
        <v>15</v>
      </c>
      <c r="C1322" s="20">
        <v>1</v>
      </c>
      <c r="D1322" s="5">
        <v>0</v>
      </c>
    </row>
    <row r="1323" spans="1:4">
      <c r="A1323">
        <v>1321</v>
      </c>
      <c r="B1323" s="22">
        <f>(A1323-$A$1322)*($B$1322-$B$1382)/60+$B$1322</f>
        <v>15.016666666666667</v>
      </c>
      <c r="C1323" s="20">
        <v>1</v>
      </c>
      <c r="D1323" s="5">
        <v>0</v>
      </c>
    </row>
    <row r="1324" spans="1:4">
      <c r="A1324">
        <v>1322</v>
      </c>
      <c r="B1324" s="22">
        <f t="shared" ref="B1324:B1381" si="49">(A1324-$A$1322)*($B$1322-$B$1382)/60+$B$1322</f>
        <v>15.033333333333333</v>
      </c>
      <c r="C1324" s="20">
        <v>1</v>
      </c>
      <c r="D1324" s="5">
        <v>0</v>
      </c>
    </row>
    <row r="1325" spans="1:4">
      <c r="A1325">
        <v>1323</v>
      </c>
      <c r="B1325" s="22">
        <f t="shared" si="49"/>
        <v>15.05</v>
      </c>
      <c r="C1325" s="20">
        <v>1</v>
      </c>
      <c r="D1325" s="5">
        <v>0</v>
      </c>
    </row>
    <row r="1326" spans="1:4">
      <c r="A1326">
        <v>1324</v>
      </c>
      <c r="B1326" s="22">
        <f t="shared" si="49"/>
        <v>15.066666666666666</v>
      </c>
      <c r="C1326" s="20">
        <v>1</v>
      </c>
      <c r="D1326" s="5">
        <v>0</v>
      </c>
    </row>
    <row r="1327" spans="1:4">
      <c r="A1327">
        <v>1325</v>
      </c>
      <c r="B1327" s="22">
        <f t="shared" si="49"/>
        <v>15.083333333333334</v>
      </c>
      <c r="C1327" s="20">
        <v>1</v>
      </c>
      <c r="D1327" s="5">
        <v>0</v>
      </c>
    </row>
    <row r="1328" spans="1:4">
      <c r="A1328">
        <v>1326</v>
      </c>
      <c r="B1328" s="22">
        <f t="shared" si="49"/>
        <v>15.1</v>
      </c>
      <c r="C1328" s="20">
        <v>1</v>
      </c>
      <c r="D1328" s="5">
        <v>0</v>
      </c>
    </row>
    <row r="1329" spans="1:4">
      <c r="A1329">
        <v>1327</v>
      </c>
      <c r="B1329" s="22">
        <f t="shared" si="49"/>
        <v>15.116666666666667</v>
      </c>
      <c r="C1329" s="20">
        <v>1</v>
      </c>
      <c r="D1329" s="5">
        <v>0</v>
      </c>
    </row>
    <row r="1330" spans="1:4">
      <c r="A1330">
        <v>1328</v>
      </c>
      <c r="B1330" s="22">
        <f t="shared" si="49"/>
        <v>15.133333333333333</v>
      </c>
      <c r="C1330" s="20">
        <v>1</v>
      </c>
      <c r="D1330" s="5">
        <v>0</v>
      </c>
    </row>
    <row r="1331" spans="1:4">
      <c r="A1331">
        <v>1329</v>
      </c>
      <c r="B1331" s="22">
        <f t="shared" si="49"/>
        <v>15.15</v>
      </c>
      <c r="C1331" s="20">
        <v>1</v>
      </c>
      <c r="D1331" s="5">
        <v>0</v>
      </c>
    </row>
    <row r="1332" spans="1:4">
      <c r="A1332">
        <v>1330</v>
      </c>
      <c r="B1332" s="22">
        <f t="shared" si="49"/>
        <v>15.166666666666666</v>
      </c>
      <c r="C1332" s="20">
        <v>1</v>
      </c>
      <c r="D1332" s="5">
        <v>0</v>
      </c>
    </row>
    <row r="1333" spans="1:4">
      <c r="A1333">
        <v>1331</v>
      </c>
      <c r="B1333" s="22">
        <f t="shared" si="49"/>
        <v>15.183333333333334</v>
      </c>
      <c r="C1333" s="20">
        <v>1</v>
      </c>
      <c r="D1333" s="5">
        <v>0</v>
      </c>
    </row>
    <row r="1334" spans="1:4">
      <c r="A1334">
        <v>1332</v>
      </c>
      <c r="B1334" s="22">
        <f t="shared" si="49"/>
        <v>15.2</v>
      </c>
      <c r="C1334" s="20">
        <v>1</v>
      </c>
      <c r="D1334" s="5">
        <v>0</v>
      </c>
    </row>
    <row r="1335" spans="1:4">
      <c r="A1335">
        <v>1333</v>
      </c>
      <c r="B1335" s="22">
        <f t="shared" si="49"/>
        <v>15.216666666666667</v>
      </c>
      <c r="C1335" s="20">
        <v>1</v>
      </c>
      <c r="D1335" s="5">
        <v>0</v>
      </c>
    </row>
    <row r="1336" spans="1:4">
      <c r="A1336">
        <v>1334</v>
      </c>
      <c r="B1336" s="22">
        <f t="shared" si="49"/>
        <v>15.233333333333333</v>
      </c>
      <c r="C1336" s="20">
        <v>1</v>
      </c>
      <c r="D1336" s="5">
        <v>0</v>
      </c>
    </row>
    <row r="1337" spans="1:4">
      <c r="A1337">
        <v>1335</v>
      </c>
      <c r="B1337" s="22">
        <f t="shared" si="49"/>
        <v>15.25</v>
      </c>
      <c r="C1337" s="20">
        <v>1</v>
      </c>
      <c r="D1337" s="5">
        <v>0</v>
      </c>
    </row>
    <row r="1338" spans="1:4">
      <c r="A1338">
        <v>1336</v>
      </c>
      <c r="B1338" s="22">
        <f t="shared" si="49"/>
        <v>15.266666666666667</v>
      </c>
      <c r="C1338" s="20">
        <v>1</v>
      </c>
      <c r="D1338" s="5">
        <v>0</v>
      </c>
    </row>
    <row r="1339" spans="1:4">
      <c r="A1339">
        <v>1337</v>
      </c>
      <c r="B1339" s="22">
        <f t="shared" si="49"/>
        <v>15.283333333333333</v>
      </c>
      <c r="C1339" s="20">
        <v>1</v>
      </c>
      <c r="D1339" s="5">
        <v>0</v>
      </c>
    </row>
    <row r="1340" spans="1:4">
      <c r="A1340">
        <v>1338</v>
      </c>
      <c r="B1340" s="22">
        <f t="shared" si="49"/>
        <v>15.3</v>
      </c>
      <c r="C1340" s="20">
        <v>1</v>
      </c>
      <c r="D1340" s="5">
        <v>0</v>
      </c>
    </row>
    <row r="1341" spans="1:4">
      <c r="A1341">
        <v>1339</v>
      </c>
      <c r="B1341" s="22">
        <f t="shared" si="49"/>
        <v>15.316666666666666</v>
      </c>
      <c r="C1341" s="20">
        <v>1</v>
      </c>
      <c r="D1341" s="5">
        <v>0</v>
      </c>
    </row>
    <row r="1342" spans="1:4">
      <c r="A1342">
        <v>1340</v>
      </c>
      <c r="B1342" s="22">
        <f t="shared" si="49"/>
        <v>15.333333333333334</v>
      </c>
      <c r="C1342" s="20">
        <v>1</v>
      </c>
      <c r="D1342" s="5">
        <v>0</v>
      </c>
    </row>
    <row r="1343" spans="1:4">
      <c r="A1343">
        <v>1341</v>
      </c>
      <c r="B1343" s="22">
        <f t="shared" si="49"/>
        <v>15.35</v>
      </c>
      <c r="C1343" s="20">
        <v>1</v>
      </c>
      <c r="D1343" s="5">
        <v>0</v>
      </c>
    </row>
    <row r="1344" spans="1:4">
      <c r="A1344">
        <v>1342</v>
      </c>
      <c r="B1344" s="22">
        <f t="shared" si="49"/>
        <v>15.366666666666667</v>
      </c>
      <c r="C1344" s="20">
        <v>1</v>
      </c>
      <c r="D1344" s="5">
        <v>0</v>
      </c>
    </row>
    <row r="1345" spans="1:4">
      <c r="A1345">
        <v>1343</v>
      </c>
      <c r="B1345" s="22">
        <f t="shared" si="49"/>
        <v>15.383333333333333</v>
      </c>
      <c r="C1345" s="20">
        <v>1</v>
      </c>
      <c r="D1345" s="5">
        <v>0</v>
      </c>
    </row>
    <row r="1346" spans="1:4">
      <c r="A1346">
        <v>1344</v>
      </c>
      <c r="B1346" s="22">
        <f t="shared" si="49"/>
        <v>15.4</v>
      </c>
      <c r="C1346" s="20">
        <v>1</v>
      </c>
      <c r="D1346" s="5">
        <v>0</v>
      </c>
    </row>
    <row r="1347" spans="1:4">
      <c r="A1347">
        <v>1345</v>
      </c>
      <c r="B1347" s="22">
        <f t="shared" si="49"/>
        <v>15.416666666666666</v>
      </c>
      <c r="C1347" s="20">
        <v>1</v>
      </c>
      <c r="D1347" s="5">
        <v>0</v>
      </c>
    </row>
    <row r="1348" spans="1:4">
      <c r="A1348">
        <v>1346</v>
      </c>
      <c r="B1348" s="22">
        <f t="shared" si="49"/>
        <v>15.433333333333334</v>
      </c>
      <c r="C1348" s="20">
        <v>1</v>
      </c>
      <c r="D1348" s="5">
        <v>0</v>
      </c>
    </row>
    <row r="1349" spans="1:4">
      <c r="A1349">
        <v>1347</v>
      </c>
      <c r="B1349" s="22">
        <f t="shared" si="49"/>
        <v>15.45</v>
      </c>
      <c r="C1349" s="20">
        <v>1</v>
      </c>
      <c r="D1349" s="5">
        <v>0</v>
      </c>
    </row>
    <row r="1350" spans="1:4">
      <c r="A1350">
        <v>1348</v>
      </c>
      <c r="B1350" s="22">
        <f t="shared" si="49"/>
        <v>15.466666666666667</v>
      </c>
      <c r="C1350" s="20">
        <v>1</v>
      </c>
      <c r="D1350" s="5">
        <v>0</v>
      </c>
    </row>
    <row r="1351" spans="1:4">
      <c r="A1351">
        <v>1349</v>
      </c>
      <c r="B1351" s="22">
        <f t="shared" si="49"/>
        <v>15.483333333333333</v>
      </c>
      <c r="C1351" s="20">
        <v>1</v>
      </c>
      <c r="D1351" s="5">
        <v>0</v>
      </c>
    </row>
    <row r="1352" spans="1:4">
      <c r="A1352">
        <v>1350</v>
      </c>
      <c r="B1352" s="22">
        <f t="shared" si="49"/>
        <v>15.5</v>
      </c>
      <c r="C1352" s="20">
        <v>1</v>
      </c>
      <c r="D1352" s="5">
        <v>0</v>
      </c>
    </row>
    <row r="1353" spans="1:4">
      <c r="A1353">
        <v>1351</v>
      </c>
      <c r="B1353" s="22">
        <f t="shared" si="49"/>
        <v>15.516666666666667</v>
      </c>
      <c r="C1353" s="20">
        <v>1</v>
      </c>
      <c r="D1353" s="5">
        <v>0</v>
      </c>
    </row>
    <row r="1354" spans="1:4">
      <c r="A1354">
        <v>1352</v>
      </c>
      <c r="B1354" s="22">
        <f t="shared" si="49"/>
        <v>15.533333333333333</v>
      </c>
      <c r="C1354" s="20">
        <v>1</v>
      </c>
      <c r="D1354" s="5">
        <v>0</v>
      </c>
    </row>
    <row r="1355" spans="1:4">
      <c r="A1355">
        <v>1353</v>
      </c>
      <c r="B1355" s="22">
        <f t="shared" si="49"/>
        <v>15.55</v>
      </c>
      <c r="C1355" s="20">
        <v>1</v>
      </c>
      <c r="D1355" s="5">
        <v>0</v>
      </c>
    </row>
    <row r="1356" spans="1:4">
      <c r="A1356">
        <v>1354</v>
      </c>
      <c r="B1356" s="22">
        <f t="shared" si="49"/>
        <v>15.566666666666666</v>
      </c>
      <c r="C1356" s="20">
        <v>1</v>
      </c>
      <c r="D1356" s="5">
        <v>0</v>
      </c>
    </row>
    <row r="1357" spans="1:4">
      <c r="A1357">
        <v>1355</v>
      </c>
      <c r="B1357" s="22">
        <f t="shared" si="49"/>
        <v>15.583333333333334</v>
      </c>
      <c r="C1357" s="20">
        <v>1</v>
      </c>
      <c r="D1357" s="5">
        <v>0</v>
      </c>
    </row>
    <row r="1358" spans="1:4">
      <c r="A1358">
        <v>1356</v>
      </c>
      <c r="B1358" s="22">
        <f t="shared" si="49"/>
        <v>15.6</v>
      </c>
      <c r="C1358" s="20">
        <v>1</v>
      </c>
      <c r="D1358" s="5">
        <v>0</v>
      </c>
    </row>
    <row r="1359" spans="1:4">
      <c r="A1359">
        <v>1357</v>
      </c>
      <c r="B1359" s="22">
        <f t="shared" si="49"/>
        <v>15.616666666666667</v>
      </c>
      <c r="C1359" s="20">
        <v>1</v>
      </c>
      <c r="D1359" s="5">
        <v>0</v>
      </c>
    </row>
    <row r="1360" spans="1:4">
      <c r="A1360">
        <v>1358</v>
      </c>
      <c r="B1360" s="22">
        <f t="shared" si="49"/>
        <v>15.633333333333333</v>
      </c>
      <c r="C1360" s="20">
        <v>1</v>
      </c>
      <c r="D1360" s="5">
        <v>0</v>
      </c>
    </row>
    <row r="1361" spans="1:4">
      <c r="A1361">
        <v>1359</v>
      </c>
      <c r="B1361" s="22">
        <f t="shared" si="49"/>
        <v>15.65</v>
      </c>
      <c r="C1361" s="20">
        <v>1</v>
      </c>
      <c r="D1361" s="5">
        <v>0</v>
      </c>
    </row>
    <row r="1362" spans="1:4">
      <c r="A1362">
        <v>1360</v>
      </c>
      <c r="B1362" s="22">
        <f t="shared" si="49"/>
        <v>15.666666666666666</v>
      </c>
      <c r="C1362" s="20">
        <v>1</v>
      </c>
      <c r="D1362" s="5">
        <v>0</v>
      </c>
    </row>
    <row r="1363" spans="1:4">
      <c r="A1363">
        <v>1361</v>
      </c>
      <c r="B1363" s="22">
        <f t="shared" si="49"/>
        <v>15.683333333333334</v>
      </c>
      <c r="C1363" s="20">
        <v>1</v>
      </c>
      <c r="D1363" s="5">
        <v>0</v>
      </c>
    </row>
    <row r="1364" spans="1:4">
      <c r="A1364">
        <v>1362</v>
      </c>
      <c r="B1364" s="22">
        <f t="shared" si="49"/>
        <v>15.7</v>
      </c>
      <c r="C1364" s="20">
        <v>1</v>
      </c>
      <c r="D1364" s="5">
        <v>0</v>
      </c>
    </row>
    <row r="1365" spans="1:4">
      <c r="A1365">
        <v>1363</v>
      </c>
      <c r="B1365" s="22">
        <f t="shared" si="49"/>
        <v>15.716666666666667</v>
      </c>
      <c r="C1365" s="20">
        <v>1</v>
      </c>
      <c r="D1365" s="5">
        <v>0</v>
      </c>
    </row>
    <row r="1366" spans="1:4">
      <c r="A1366">
        <v>1364</v>
      </c>
      <c r="B1366" s="22">
        <f t="shared" si="49"/>
        <v>15.733333333333333</v>
      </c>
      <c r="C1366" s="20">
        <v>1</v>
      </c>
      <c r="D1366" s="5">
        <v>0</v>
      </c>
    </row>
    <row r="1367" spans="1:4">
      <c r="A1367">
        <v>1365</v>
      </c>
      <c r="B1367" s="22">
        <f t="shared" si="49"/>
        <v>15.75</v>
      </c>
      <c r="C1367" s="20">
        <v>1</v>
      </c>
      <c r="D1367" s="5">
        <v>0</v>
      </c>
    </row>
    <row r="1368" spans="1:4">
      <c r="A1368">
        <v>1366</v>
      </c>
      <c r="B1368" s="22">
        <f t="shared" si="49"/>
        <v>15.766666666666667</v>
      </c>
      <c r="C1368" s="20">
        <v>1</v>
      </c>
      <c r="D1368" s="5">
        <v>0</v>
      </c>
    </row>
    <row r="1369" spans="1:4">
      <c r="A1369">
        <v>1367</v>
      </c>
      <c r="B1369" s="22">
        <f t="shared" si="49"/>
        <v>15.783333333333333</v>
      </c>
      <c r="C1369" s="20">
        <v>1</v>
      </c>
      <c r="D1369" s="5">
        <v>0</v>
      </c>
    </row>
    <row r="1370" spans="1:4">
      <c r="A1370">
        <v>1368</v>
      </c>
      <c r="B1370" s="22">
        <f t="shared" si="49"/>
        <v>15.8</v>
      </c>
      <c r="C1370" s="20">
        <v>1</v>
      </c>
      <c r="D1370" s="5">
        <v>0</v>
      </c>
    </row>
    <row r="1371" spans="1:4">
      <c r="A1371">
        <v>1369</v>
      </c>
      <c r="B1371" s="22">
        <f t="shared" si="49"/>
        <v>15.816666666666666</v>
      </c>
      <c r="C1371" s="20">
        <v>1</v>
      </c>
      <c r="D1371" s="5">
        <v>0</v>
      </c>
    </row>
    <row r="1372" spans="1:4">
      <c r="A1372">
        <v>1370</v>
      </c>
      <c r="B1372" s="22">
        <f t="shared" si="49"/>
        <v>15.833333333333334</v>
      </c>
      <c r="C1372" s="20">
        <v>1</v>
      </c>
      <c r="D1372" s="5">
        <v>0</v>
      </c>
    </row>
    <row r="1373" spans="1:4">
      <c r="A1373">
        <v>1371</v>
      </c>
      <c r="B1373" s="22">
        <f t="shared" si="49"/>
        <v>15.85</v>
      </c>
      <c r="C1373" s="20">
        <v>1</v>
      </c>
      <c r="D1373" s="5">
        <v>0</v>
      </c>
    </row>
    <row r="1374" spans="1:4">
      <c r="A1374">
        <v>1372</v>
      </c>
      <c r="B1374" s="22">
        <f t="shared" si="49"/>
        <v>15.866666666666667</v>
      </c>
      <c r="C1374" s="20">
        <v>1</v>
      </c>
      <c r="D1374" s="5">
        <v>0</v>
      </c>
    </row>
    <row r="1375" spans="1:4">
      <c r="A1375">
        <v>1373</v>
      </c>
      <c r="B1375" s="22">
        <f t="shared" si="49"/>
        <v>15.883333333333333</v>
      </c>
      <c r="C1375" s="20">
        <v>1</v>
      </c>
      <c r="D1375" s="5">
        <v>0</v>
      </c>
    </row>
    <row r="1376" spans="1:4">
      <c r="A1376">
        <v>1374</v>
      </c>
      <c r="B1376" s="22">
        <f t="shared" si="49"/>
        <v>15.9</v>
      </c>
      <c r="C1376" s="20">
        <v>1</v>
      </c>
      <c r="D1376" s="5">
        <v>0</v>
      </c>
    </row>
    <row r="1377" spans="1:4">
      <c r="A1377">
        <v>1375</v>
      </c>
      <c r="B1377" s="22">
        <f t="shared" si="49"/>
        <v>15.916666666666666</v>
      </c>
      <c r="C1377" s="20">
        <v>1</v>
      </c>
      <c r="D1377" s="5">
        <v>0</v>
      </c>
    </row>
    <row r="1378" spans="1:4">
      <c r="A1378">
        <v>1376</v>
      </c>
      <c r="B1378" s="22">
        <f t="shared" si="49"/>
        <v>15.933333333333334</v>
      </c>
      <c r="C1378" s="20">
        <v>1</v>
      </c>
      <c r="D1378" s="5">
        <v>0</v>
      </c>
    </row>
    <row r="1379" spans="1:4">
      <c r="A1379">
        <v>1377</v>
      </c>
      <c r="B1379" s="22">
        <f t="shared" si="49"/>
        <v>15.95</v>
      </c>
      <c r="C1379" s="20">
        <v>1</v>
      </c>
      <c r="D1379" s="5">
        <v>0</v>
      </c>
    </row>
    <row r="1380" spans="1:4">
      <c r="A1380">
        <v>1378</v>
      </c>
      <c r="B1380" s="22">
        <f t="shared" si="49"/>
        <v>15.966666666666667</v>
      </c>
      <c r="C1380" s="20">
        <v>1</v>
      </c>
      <c r="D1380" s="5">
        <v>0</v>
      </c>
    </row>
    <row r="1381" spans="1:4">
      <c r="A1381">
        <v>1379</v>
      </c>
      <c r="B1381" s="22">
        <f t="shared" si="49"/>
        <v>15.983333333333333</v>
      </c>
      <c r="C1381" s="20">
        <v>1</v>
      </c>
      <c r="D1381" s="5">
        <v>0</v>
      </c>
    </row>
    <row r="1382" spans="1:4">
      <c r="A1382">
        <v>1380</v>
      </c>
      <c r="B1382" s="4">
        <v>14</v>
      </c>
      <c r="C1382" s="20">
        <v>1</v>
      </c>
      <c r="D1382" s="5">
        <v>0</v>
      </c>
    </row>
    <row r="1383" spans="1:4">
      <c r="A1383">
        <v>1381</v>
      </c>
      <c r="B1383" s="4">
        <v>14</v>
      </c>
      <c r="C1383" s="20">
        <v>1</v>
      </c>
      <c r="D1383" s="5">
        <v>0</v>
      </c>
    </row>
    <row r="1384" spans="1:4">
      <c r="A1384">
        <v>1382</v>
      </c>
      <c r="B1384" s="4">
        <v>14</v>
      </c>
      <c r="C1384" s="20">
        <v>1</v>
      </c>
      <c r="D1384" s="5">
        <v>0</v>
      </c>
    </row>
    <row r="1385" spans="1:4">
      <c r="A1385">
        <v>1383</v>
      </c>
      <c r="B1385" s="4">
        <v>14</v>
      </c>
      <c r="C1385" s="20">
        <v>1</v>
      </c>
      <c r="D1385" s="5">
        <v>0</v>
      </c>
    </row>
    <row r="1386" spans="1:4">
      <c r="A1386">
        <v>1384</v>
      </c>
      <c r="B1386" s="4">
        <v>14</v>
      </c>
      <c r="C1386" s="20">
        <v>1</v>
      </c>
      <c r="D1386" s="5">
        <v>0</v>
      </c>
    </row>
    <row r="1387" spans="1:4">
      <c r="A1387">
        <v>1385</v>
      </c>
      <c r="B1387" s="4">
        <v>14</v>
      </c>
      <c r="C1387" s="20">
        <v>1</v>
      </c>
      <c r="D1387" s="5">
        <v>0</v>
      </c>
    </row>
    <row r="1388" spans="1:4">
      <c r="A1388">
        <v>1386</v>
      </c>
      <c r="B1388" s="4">
        <v>14</v>
      </c>
      <c r="C1388" s="20">
        <v>1</v>
      </c>
      <c r="D1388" s="5">
        <v>0</v>
      </c>
    </row>
    <row r="1389" spans="1:4">
      <c r="A1389">
        <v>1387</v>
      </c>
      <c r="B1389" s="4">
        <v>14</v>
      </c>
      <c r="C1389" s="20">
        <v>1</v>
      </c>
      <c r="D1389" s="5">
        <v>0</v>
      </c>
    </row>
    <row r="1390" spans="1:4">
      <c r="A1390">
        <v>1388</v>
      </c>
      <c r="B1390" s="4">
        <v>14</v>
      </c>
      <c r="C1390" s="20">
        <v>1</v>
      </c>
      <c r="D1390" s="5">
        <v>0</v>
      </c>
    </row>
    <row r="1391" spans="1:4">
      <c r="A1391">
        <v>1389</v>
      </c>
      <c r="B1391" s="4">
        <v>14</v>
      </c>
      <c r="C1391" s="20">
        <v>1</v>
      </c>
      <c r="D1391" s="5">
        <v>0</v>
      </c>
    </row>
    <row r="1392" spans="1:4">
      <c r="A1392">
        <v>1390</v>
      </c>
      <c r="B1392" s="4">
        <v>14</v>
      </c>
      <c r="C1392" s="20">
        <v>1</v>
      </c>
      <c r="D1392" s="5">
        <v>0</v>
      </c>
    </row>
    <row r="1393" spans="1:4">
      <c r="A1393">
        <v>1391</v>
      </c>
      <c r="B1393" s="4">
        <v>14</v>
      </c>
      <c r="C1393" s="20">
        <v>1</v>
      </c>
      <c r="D1393" s="5">
        <v>0</v>
      </c>
    </row>
    <row r="1394" spans="1:4">
      <c r="A1394">
        <v>1392</v>
      </c>
      <c r="B1394" s="4">
        <v>14</v>
      </c>
      <c r="C1394" s="20">
        <v>1</v>
      </c>
      <c r="D1394" s="5">
        <v>0</v>
      </c>
    </row>
    <row r="1395" spans="1:4">
      <c r="A1395">
        <v>1393</v>
      </c>
      <c r="B1395" s="4">
        <v>14</v>
      </c>
      <c r="C1395" s="20">
        <v>1</v>
      </c>
      <c r="D1395" s="5">
        <v>0</v>
      </c>
    </row>
    <row r="1396" spans="1:4">
      <c r="A1396">
        <v>1394</v>
      </c>
      <c r="B1396" s="4">
        <v>14</v>
      </c>
      <c r="C1396" s="20">
        <v>1</v>
      </c>
      <c r="D1396" s="5">
        <v>0</v>
      </c>
    </row>
    <row r="1397" spans="1:4">
      <c r="A1397">
        <v>1395</v>
      </c>
      <c r="B1397" s="4">
        <v>14</v>
      </c>
      <c r="C1397" s="20">
        <v>1</v>
      </c>
      <c r="D1397" s="5">
        <v>0</v>
      </c>
    </row>
    <row r="1398" spans="1:4">
      <c r="A1398">
        <v>1396</v>
      </c>
      <c r="B1398" s="4">
        <v>14</v>
      </c>
      <c r="C1398" s="20">
        <v>1</v>
      </c>
      <c r="D1398" s="5">
        <v>0</v>
      </c>
    </row>
    <row r="1399" spans="1:4">
      <c r="A1399">
        <v>1397</v>
      </c>
      <c r="B1399" s="4">
        <v>14</v>
      </c>
      <c r="C1399" s="20">
        <v>1</v>
      </c>
      <c r="D1399" s="5">
        <v>0</v>
      </c>
    </row>
    <row r="1400" spans="1:4">
      <c r="A1400">
        <v>1398</v>
      </c>
      <c r="B1400" s="4">
        <v>14</v>
      </c>
      <c r="C1400" s="20">
        <v>1</v>
      </c>
      <c r="D1400" s="5">
        <v>0</v>
      </c>
    </row>
    <row r="1401" spans="1:4">
      <c r="A1401">
        <v>1399</v>
      </c>
      <c r="B1401" s="4">
        <v>14</v>
      </c>
      <c r="C1401" s="20">
        <v>1</v>
      </c>
      <c r="D1401" s="5">
        <v>0</v>
      </c>
    </row>
    <row r="1402" spans="1:4">
      <c r="A1402">
        <v>1400</v>
      </c>
      <c r="B1402" s="4">
        <v>14</v>
      </c>
      <c r="C1402" s="20">
        <v>1</v>
      </c>
      <c r="D1402" s="5">
        <v>0</v>
      </c>
    </row>
    <row r="1403" spans="1:4">
      <c r="A1403">
        <v>1401</v>
      </c>
      <c r="B1403" s="4">
        <v>14</v>
      </c>
      <c r="C1403" s="20">
        <v>1</v>
      </c>
      <c r="D1403" s="5">
        <v>0</v>
      </c>
    </row>
    <row r="1404" spans="1:4">
      <c r="A1404">
        <v>1402</v>
      </c>
      <c r="B1404" s="4">
        <v>14</v>
      </c>
      <c r="C1404" s="20">
        <v>1</v>
      </c>
      <c r="D1404" s="5">
        <v>0</v>
      </c>
    </row>
    <row r="1405" spans="1:4">
      <c r="A1405">
        <v>1403</v>
      </c>
      <c r="B1405" s="4">
        <v>14</v>
      </c>
      <c r="C1405" s="20">
        <v>1</v>
      </c>
      <c r="D1405" s="5">
        <v>0</v>
      </c>
    </row>
    <row r="1406" spans="1:4">
      <c r="A1406">
        <v>1404</v>
      </c>
      <c r="B1406" s="4">
        <v>14</v>
      </c>
      <c r="C1406" s="20">
        <v>1</v>
      </c>
      <c r="D1406" s="5">
        <v>0</v>
      </c>
    </row>
    <row r="1407" spans="1:4">
      <c r="A1407">
        <v>1405</v>
      </c>
      <c r="B1407" s="4">
        <v>14</v>
      </c>
      <c r="C1407" s="20">
        <v>1</v>
      </c>
      <c r="D1407" s="5">
        <v>0</v>
      </c>
    </row>
    <row r="1408" spans="1:4">
      <c r="A1408">
        <v>1406</v>
      </c>
      <c r="B1408" s="4">
        <v>14</v>
      </c>
      <c r="C1408" s="20">
        <v>1</v>
      </c>
      <c r="D1408" s="5">
        <v>0</v>
      </c>
    </row>
    <row r="1409" spans="1:4">
      <c r="A1409">
        <v>1407</v>
      </c>
      <c r="B1409" s="4">
        <v>14</v>
      </c>
      <c r="C1409" s="20">
        <v>1</v>
      </c>
      <c r="D1409" s="5">
        <v>0</v>
      </c>
    </row>
    <row r="1410" spans="1:4">
      <c r="A1410">
        <v>1408</v>
      </c>
      <c r="B1410" s="4">
        <v>14</v>
      </c>
      <c r="C1410" s="20">
        <v>1</v>
      </c>
      <c r="D1410" s="5">
        <v>0</v>
      </c>
    </row>
    <row r="1411" spans="1:4">
      <c r="A1411">
        <v>1409</v>
      </c>
      <c r="B1411" s="4">
        <v>14</v>
      </c>
      <c r="C1411" s="20">
        <v>1</v>
      </c>
      <c r="D1411" s="5">
        <v>0</v>
      </c>
    </row>
    <row r="1412" spans="1:4">
      <c r="A1412">
        <v>1410</v>
      </c>
      <c r="B1412" s="4">
        <v>14</v>
      </c>
      <c r="C1412" s="20">
        <v>1</v>
      </c>
      <c r="D1412" s="5">
        <v>0</v>
      </c>
    </row>
    <row r="1413" spans="1:4">
      <c r="A1413">
        <v>1411</v>
      </c>
      <c r="B1413" s="4">
        <v>14</v>
      </c>
      <c r="C1413" s="20">
        <v>1</v>
      </c>
      <c r="D1413" s="5">
        <v>0</v>
      </c>
    </row>
    <row r="1414" spans="1:4">
      <c r="A1414">
        <v>1412</v>
      </c>
      <c r="B1414" s="4">
        <v>14</v>
      </c>
      <c r="C1414" s="20">
        <v>1</v>
      </c>
      <c r="D1414" s="5">
        <v>0</v>
      </c>
    </row>
    <row r="1415" spans="1:4">
      <c r="A1415">
        <v>1413</v>
      </c>
      <c r="B1415" s="4">
        <v>14</v>
      </c>
      <c r="C1415" s="20">
        <v>1</v>
      </c>
      <c r="D1415" s="5">
        <v>0</v>
      </c>
    </row>
    <row r="1416" spans="1:4">
      <c r="A1416">
        <v>1414</v>
      </c>
      <c r="B1416" s="4">
        <v>14</v>
      </c>
      <c r="C1416" s="20">
        <v>1</v>
      </c>
      <c r="D1416" s="5">
        <v>0</v>
      </c>
    </row>
    <row r="1417" spans="1:4">
      <c r="A1417">
        <v>1415</v>
      </c>
      <c r="B1417" s="4">
        <v>14</v>
      </c>
      <c r="C1417" s="20">
        <v>1</v>
      </c>
      <c r="D1417" s="5">
        <v>0</v>
      </c>
    </row>
    <row r="1418" spans="1:4">
      <c r="A1418">
        <v>1416</v>
      </c>
      <c r="B1418" s="4">
        <v>14</v>
      </c>
      <c r="C1418" s="20">
        <v>1</v>
      </c>
      <c r="D1418" s="5">
        <v>0</v>
      </c>
    </row>
    <row r="1419" spans="1:4">
      <c r="A1419">
        <v>1417</v>
      </c>
      <c r="B1419" s="4">
        <v>14</v>
      </c>
      <c r="C1419" s="20">
        <v>1</v>
      </c>
      <c r="D1419" s="5">
        <v>0</v>
      </c>
    </row>
    <row r="1420" spans="1:4">
      <c r="A1420">
        <v>1418</v>
      </c>
      <c r="B1420" s="4">
        <v>14</v>
      </c>
      <c r="C1420" s="20">
        <v>1</v>
      </c>
      <c r="D1420" s="5">
        <v>0</v>
      </c>
    </row>
    <row r="1421" spans="1:4">
      <c r="A1421">
        <v>1419</v>
      </c>
      <c r="B1421" s="4">
        <v>14</v>
      </c>
      <c r="C1421" s="20">
        <v>1</v>
      </c>
      <c r="D1421" s="5">
        <v>0</v>
      </c>
    </row>
    <row r="1422" spans="1:4">
      <c r="A1422">
        <v>1420</v>
      </c>
      <c r="B1422" s="4">
        <v>14</v>
      </c>
      <c r="C1422" s="20">
        <v>1</v>
      </c>
      <c r="D1422" s="5">
        <v>0</v>
      </c>
    </row>
    <row r="1423" spans="1:4">
      <c r="A1423">
        <v>1421</v>
      </c>
      <c r="B1423" s="4">
        <v>14</v>
      </c>
      <c r="C1423" s="20">
        <v>1</v>
      </c>
      <c r="D1423" s="5">
        <v>0</v>
      </c>
    </row>
    <row r="1424" spans="1:4">
      <c r="A1424">
        <v>1422</v>
      </c>
      <c r="B1424" s="4">
        <v>14</v>
      </c>
      <c r="C1424" s="20">
        <v>1</v>
      </c>
      <c r="D1424" s="5">
        <v>0</v>
      </c>
    </row>
    <row r="1425" spans="1:4">
      <c r="A1425">
        <v>1423</v>
      </c>
      <c r="B1425" s="4">
        <v>14</v>
      </c>
      <c r="C1425" s="20">
        <v>1</v>
      </c>
      <c r="D1425" s="5">
        <v>0</v>
      </c>
    </row>
    <row r="1426" spans="1:4">
      <c r="A1426">
        <v>1424</v>
      </c>
      <c r="B1426" s="4">
        <v>14</v>
      </c>
      <c r="C1426" s="20">
        <v>1</v>
      </c>
      <c r="D1426" s="5">
        <v>0</v>
      </c>
    </row>
    <row r="1427" spans="1:4">
      <c r="A1427">
        <v>1425</v>
      </c>
      <c r="B1427" s="4">
        <v>14</v>
      </c>
      <c r="C1427" s="20">
        <v>1</v>
      </c>
      <c r="D1427" s="5">
        <v>0</v>
      </c>
    </row>
    <row r="1428" spans="1:4">
      <c r="A1428">
        <v>1426</v>
      </c>
      <c r="B1428" s="4">
        <v>14</v>
      </c>
      <c r="C1428" s="20">
        <v>1</v>
      </c>
      <c r="D1428" s="5">
        <v>0</v>
      </c>
    </row>
    <row r="1429" spans="1:4">
      <c r="A1429">
        <v>1427</v>
      </c>
      <c r="B1429" s="4">
        <v>14</v>
      </c>
      <c r="C1429" s="20">
        <v>1</v>
      </c>
      <c r="D1429" s="5">
        <v>0</v>
      </c>
    </row>
    <row r="1430" spans="1:4">
      <c r="A1430">
        <v>1428</v>
      </c>
      <c r="B1430" s="4">
        <v>14</v>
      </c>
      <c r="C1430" s="20">
        <v>1</v>
      </c>
      <c r="D1430" s="5">
        <v>0</v>
      </c>
    </row>
    <row r="1431" spans="1:4">
      <c r="A1431">
        <v>1429</v>
      </c>
      <c r="B1431" s="4">
        <v>14</v>
      </c>
      <c r="C1431" s="20">
        <v>1</v>
      </c>
      <c r="D1431" s="5">
        <v>0</v>
      </c>
    </row>
    <row r="1432" spans="1:4">
      <c r="A1432">
        <v>1430</v>
      </c>
      <c r="B1432" s="4">
        <v>14</v>
      </c>
      <c r="C1432" s="20">
        <v>1</v>
      </c>
      <c r="D1432" s="5">
        <v>0</v>
      </c>
    </row>
    <row r="1433" spans="1:4">
      <c r="A1433">
        <v>1431</v>
      </c>
      <c r="B1433" s="4">
        <v>14</v>
      </c>
      <c r="C1433" s="20">
        <v>1</v>
      </c>
      <c r="D1433" s="5">
        <v>0</v>
      </c>
    </row>
    <row r="1434" spans="1:4">
      <c r="A1434">
        <v>1432</v>
      </c>
      <c r="B1434" s="4">
        <v>14</v>
      </c>
      <c r="C1434" s="20">
        <v>1</v>
      </c>
      <c r="D1434" s="5">
        <v>0</v>
      </c>
    </row>
    <row r="1435" spans="1:4">
      <c r="A1435">
        <v>1433</v>
      </c>
      <c r="B1435" s="4">
        <v>14</v>
      </c>
      <c r="C1435" s="20">
        <v>1</v>
      </c>
      <c r="D1435" s="5">
        <v>0</v>
      </c>
    </row>
    <row r="1436" spans="1:4">
      <c r="A1436">
        <v>1434</v>
      </c>
      <c r="B1436" s="4">
        <v>14</v>
      </c>
      <c r="C1436" s="20">
        <v>1</v>
      </c>
      <c r="D1436" s="5">
        <v>0</v>
      </c>
    </row>
    <row r="1437" spans="1:4">
      <c r="A1437">
        <v>1435</v>
      </c>
      <c r="B1437" s="4">
        <v>14</v>
      </c>
      <c r="C1437" s="20">
        <v>1</v>
      </c>
      <c r="D1437" s="5">
        <v>0</v>
      </c>
    </row>
    <row r="1438" spans="1:4">
      <c r="A1438">
        <v>1436</v>
      </c>
      <c r="B1438" s="4">
        <v>14</v>
      </c>
      <c r="C1438" s="20">
        <v>1</v>
      </c>
      <c r="D1438" s="5">
        <v>0</v>
      </c>
    </row>
    <row r="1439" spans="1:4">
      <c r="A1439">
        <v>1437</v>
      </c>
      <c r="B1439" s="4">
        <v>14</v>
      </c>
      <c r="C1439" s="20">
        <v>1</v>
      </c>
      <c r="D1439" s="5">
        <v>0</v>
      </c>
    </row>
    <row r="1440" spans="1:4">
      <c r="A1440">
        <v>1438</v>
      </c>
      <c r="B1440" s="4">
        <v>14</v>
      </c>
      <c r="C1440" s="20">
        <v>1</v>
      </c>
      <c r="D1440" s="5">
        <v>0</v>
      </c>
    </row>
    <row r="1441" spans="1:4">
      <c r="A1441">
        <v>1439</v>
      </c>
      <c r="B1441" s="4">
        <v>14</v>
      </c>
      <c r="C1441" s="20">
        <v>1</v>
      </c>
      <c r="D1441" s="5">
        <v>0</v>
      </c>
    </row>
    <row r="1442" spans="1:4">
      <c r="A1442" s="7">
        <v>1440</v>
      </c>
      <c r="B1442" s="6">
        <v>14</v>
      </c>
      <c r="C1442" s="10">
        <v>1</v>
      </c>
      <c r="D1442" s="8">
        <v>0</v>
      </c>
    </row>
  </sheetData>
  <mergeCells count="1">
    <mergeCell ref="J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DCF4B-0263-4D87-92A9-5A5C0A6D3E53}">
  <dimension ref="A1:N1442"/>
  <sheetViews>
    <sheetView workbookViewId="0">
      <selection activeCell="J2" sqref="J2"/>
    </sheetView>
  </sheetViews>
  <sheetFormatPr defaultRowHeight="15"/>
  <cols>
    <col min="1" max="1" width="16.85546875" customWidth="1"/>
    <col min="2" max="2" width="24.140625" customWidth="1"/>
    <col min="3" max="3" width="22.5703125" customWidth="1"/>
    <col min="4" max="4" width="22.42578125" customWidth="1"/>
  </cols>
  <sheetData>
    <row r="1" spans="1:14">
      <c r="A1" s="1" t="s">
        <v>54</v>
      </c>
      <c r="B1" s="1" t="s">
        <v>51</v>
      </c>
      <c r="C1" s="14" t="s">
        <v>52</v>
      </c>
      <c r="D1" s="19" t="s">
        <v>53</v>
      </c>
      <c r="J1" s="31" t="s">
        <v>61</v>
      </c>
      <c r="K1" s="33"/>
      <c r="L1" s="33"/>
      <c r="M1" s="33"/>
      <c r="N1" s="32"/>
    </row>
    <row r="2" spans="1:14">
      <c r="A2" s="14">
        <v>0</v>
      </c>
      <c r="B2" s="3">
        <v>10</v>
      </c>
      <c r="C2" s="3">
        <v>2</v>
      </c>
      <c r="D2" s="5">
        <v>0</v>
      </c>
      <c r="J2" s="4">
        <v>0</v>
      </c>
      <c r="K2" s="4">
        <f>60*J2</f>
        <v>0</v>
      </c>
      <c r="L2" s="20">
        <v>10</v>
      </c>
      <c r="M2">
        <v>2</v>
      </c>
      <c r="N2" s="20">
        <v>0</v>
      </c>
    </row>
    <row r="3" spans="1:14">
      <c r="A3" s="20">
        <v>1</v>
      </c>
      <c r="B3" s="5">
        <v>10</v>
      </c>
      <c r="C3" s="5">
        <v>2</v>
      </c>
      <c r="D3" s="5">
        <v>0</v>
      </c>
      <c r="J3" s="4">
        <v>1</v>
      </c>
      <c r="K3" s="4">
        <f>60*J3</f>
        <v>60</v>
      </c>
      <c r="L3" s="20">
        <v>10</v>
      </c>
      <c r="M3">
        <v>2</v>
      </c>
      <c r="N3" s="20">
        <v>0</v>
      </c>
    </row>
    <row r="4" spans="1:14">
      <c r="A4" s="20">
        <v>2</v>
      </c>
      <c r="B4" s="5">
        <v>10</v>
      </c>
      <c r="C4" s="5">
        <v>2</v>
      </c>
      <c r="D4" s="5">
        <v>0</v>
      </c>
      <c r="J4" s="4">
        <v>2</v>
      </c>
      <c r="K4" s="4">
        <f>60*J4</f>
        <v>120</v>
      </c>
      <c r="L4" s="20">
        <v>10</v>
      </c>
      <c r="M4">
        <v>2</v>
      </c>
      <c r="N4" s="20">
        <v>0</v>
      </c>
    </row>
    <row r="5" spans="1:14">
      <c r="A5" s="20">
        <v>3</v>
      </c>
      <c r="B5" s="5">
        <v>10</v>
      </c>
      <c r="C5" s="5">
        <v>2</v>
      </c>
      <c r="D5" s="5">
        <v>0</v>
      </c>
      <c r="J5" s="4">
        <v>3</v>
      </c>
      <c r="K5" s="4">
        <f>60*J5</f>
        <v>180</v>
      </c>
      <c r="L5" s="20">
        <v>10</v>
      </c>
      <c r="M5">
        <v>2</v>
      </c>
      <c r="N5" s="20">
        <v>0</v>
      </c>
    </row>
    <row r="6" spans="1:14">
      <c r="A6" s="20">
        <v>4</v>
      </c>
      <c r="B6" s="5">
        <v>10</v>
      </c>
      <c r="C6" s="5">
        <v>2</v>
      </c>
      <c r="D6" s="5">
        <v>0</v>
      </c>
      <c r="J6" s="4">
        <v>4</v>
      </c>
      <c r="K6" s="4">
        <f>60*J6</f>
        <v>240</v>
      </c>
      <c r="L6" s="20">
        <v>10</v>
      </c>
      <c r="M6">
        <v>2</v>
      </c>
      <c r="N6" s="20">
        <v>0</v>
      </c>
    </row>
    <row r="7" spans="1:14">
      <c r="A7" s="20">
        <v>5</v>
      </c>
      <c r="B7" s="5">
        <v>10</v>
      </c>
      <c r="C7" s="5">
        <v>2</v>
      </c>
      <c r="D7" s="5">
        <v>0</v>
      </c>
      <c r="J7" s="4">
        <v>5</v>
      </c>
      <c r="K7" s="4">
        <f>60*J7</f>
        <v>300</v>
      </c>
      <c r="L7" s="20">
        <v>10</v>
      </c>
      <c r="M7">
        <v>2</v>
      </c>
      <c r="N7" s="20">
        <v>0</v>
      </c>
    </row>
    <row r="8" spans="1:14">
      <c r="A8" s="20">
        <v>6</v>
      </c>
      <c r="B8" s="5">
        <v>10</v>
      </c>
      <c r="C8" s="5">
        <v>2</v>
      </c>
      <c r="D8" s="5">
        <v>0</v>
      </c>
      <c r="J8" s="4">
        <v>6</v>
      </c>
      <c r="K8" s="4">
        <f>60*J8</f>
        <v>360</v>
      </c>
      <c r="L8" s="20">
        <v>11</v>
      </c>
      <c r="M8">
        <v>2</v>
      </c>
      <c r="N8" s="20">
        <v>0</v>
      </c>
    </row>
    <row r="9" spans="1:14">
      <c r="A9" s="20">
        <v>7</v>
      </c>
      <c r="B9" s="5">
        <v>10</v>
      </c>
      <c r="C9" s="5">
        <v>2</v>
      </c>
      <c r="D9" s="5">
        <v>0</v>
      </c>
      <c r="J9" s="4">
        <v>7</v>
      </c>
      <c r="K9" s="4">
        <f>60*J9</f>
        <v>420</v>
      </c>
      <c r="L9" s="20">
        <v>12</v>
      </c>
      <c r="M9">
        <v>2</v>
      </c>
      <c r="N9" s="20">
        <v>0</v>
      </c>
    </row>
    <row r="10" spans="1:14">
      <c r="A10" s="20">
        <v>8</v>
      </c>
      <c r="B10" s="5">
        <v>10</v>
      </c>
      <c r="C10" s="5">
        <v>2</v>
      </c>
      <c r="D10" s="5">
        <v>0</v>
      </c>
      <c r="J10" s="4">
        <v>8</v>
      </c>
      <c r="K10" s="4">
        <f>60*J10</f>
        <v>480</v>
      </c>
      <c r="L10" s="20">
        <v>14</v>
      </c>
      <c r="M10">
        <v>2</v>
      </c>
      <c r="N10" s="20">
        <v>207</v>
      </c>
    </row>
    <row r="11" spans="1:14">
      <c r="A11" s="20">
        <v>9</v>
      </c>
      <c r="B11" s="5">
        <v>10</v>
      </c>
      <c r="C11" s="5">
        <v>2</v>
      </c>
      <c r="D11" s="5">
        <v>0</v>
      </c>
      <c r="J11" s="4">
        <v>9</v>
      </c>
      <c r="K11" s="4">
        <f>60*J11</f>
        <v>540</v>
      </c>
      <c r="L11" s="20">
        <v>16</v>
      </c>
      <c r="M11">
        <v>2</v>
      </c>
      <c r="N11" s="20">
        <v>469</v>
      </c>
    </row>
    <row r="12" spans="1:14">
      <c r="A12" s="20">
        <v>10</v>
      </c>
      <c r="B12" s="5">
        <v>10</v>
      </c>
      <c r="C12" s="5">
        <v>2</v>
      </c>
      <c r="D12" s="5">
        <v>0</v>
      </c>
      <c r="J12" s="4">
        <v>10</v>
      </c>
      <c r="K12" s="4">
        <f>60*J12</f>
        <v>600</v>
      </c>
      <c r="L12" s="20">
        <v>18</v>
      </c>
      <c r="M12">
        <v>3</v>
      </c>
      <c r="N12" s="20">
        <v>689</v>
      </c>
    </row>
    <row r="13" spans="1:14">
      <c r="A13" s="20">
        <v>11</v>
      </c>
      <c r="B13" s="5">
        <v>10</v>
      </c>
      <c r="C13" s="5">
        <v>2</v>
      </c>
      <c r="D13" s="5">
        <v>0</v>
      </c>
      <c r="J13" s="4">
        <v>11</v>
      </c>
      <c r="K13" s="4">
        <f>60*J13</f>
        <v>660</v>
      </c>
      <c r="L13" s="20">
        <v>20</v>
      </c>
      <c r="M13">
        <v>4</v>
      </c>
      <c r="N13" s="20">
        <v>826</v>
      </c>
    </row>
    <row r="14" spans="1:14">
      <c r="A14" s="20">
        <v>12</v>
      </c>
      <c r="B14" s="5">
        <v>10</v>
      </c>
      <c r="C14" s="5">
        <v>2</v>
      </c>
      <c r="D14" s="5">
        <v>0</v>
      </c>
      <c r="J14" s="4">
        <v>12</v>
      </c>
      <c r="K14" s="4">
        <f>60*J14</f>
        <v>720</v>
      </c>
      <c r="L14" s="20">
        <v>22</v>
      </c>
      <c r="M14">
        <v>6</v>
      </c>
      <c r="N14" s="20">
        <v>901</v>
      </c>
    </row>
    <row r="15" spans="1:14">
      <c r="A15" s="20">
        <v>13</v>
      </c>
      <c r="B15" s="5">
        <v>10</v>
      </c>
      <c r="C15" s="5">
        <v>2</v>
      </c>
      <c r="D15" s="5">
        <v>0</v>
      </c>
      <c r="J15" s="4">
        <v>13</v>
      </c>
      <c r="K15" s="4">
        <f>60*J15</f>
        <v>780</v>
      </c>
      <c r="L15" s="20">
        <v>24</v>
      </c>
      <c r="M15">
        <v>6</v>
      </c>
      <c r="N15" s="20">
        <v>904</v>
      </c>
    </row>
    <row r="16" spans="1:14">
      <c r="A16" s="20">
        <v>14</v>
      </c>
      <c r="B16" s="5">
        <v>10</v>
      </c>
      <c r="C16" s="5">
        <v>2</v>
      </c>
      <c r="D16" s="5">
        <v>0</v>
      </c>
      <c r="J16" s="4">
        <v>14</v>
      </c>
      <c r="K16" s="4">
        <f>60*J16</f>
        <v>840</v>
      </c>
      <c r="L16" s="20">
        <v>24</v>
      </c>
      <c r="M16">
        <v>7</v>
      </c>
      <c r="N16" s="20">
        <v>861</v>
      </c>
    </row>
    <row r="17" spans="1:14">
      <c r="A17" s="20">
        <v>15</v>
      </c>
      <c r="B17" s="5">
        <v>10</v>
      </c>
      <c r="C17" s="5">
        <v>2</v>
      </c>
      <c r="D17" s="5">
        <v>0</v>
      </c>
      <c r="J17" s="4">
        <v>15</v>
      </c>
      <c r="K17" s="4">
        <f>60*J17</f>
        <v>900</v>
      </c>
      <c r="L17" s="20">
        <v>23</v>
      </c>
      <c r="M17">
        <v>6</v>
      </c>
      <c r="N17" s="20">
        <v>752</v>
      </c>
    </row>
    <row r="18" spans="1:14">
      <c r="A18" s="20">
        <v>16</v>
      </c>
      <c r="B18" s="5">
        <v>10</v>
      </c>
      <c r="C18" s="5">
        <v>2</v>
      </c>
      <c r="D18" s="5">
        <v>0</v>
      </c>
      <c r="J18" s="4">
        <v>16</v>
      </c>
      <c r="K18" s="4">
        <f>60*J18</f>
        <v>960</v>
      </c>
      <c r="L18" s="20">
        <v>21</v>
      </c>
      <c r="M18">
        <v>4</v>
      </c>
      <c r="N18" s="20">
        <v>567</v>
      </c>
    </row>
    <row r="19" spans="1:14">
      <c r="A19" s="20">
        <v>17</v>
      </c>
      <c r="B19" s="5">
        <v>10</v>
      </c>
      <c r="C19" s="5">
        <v>2</v>
      </c>
      <c r="D19" s="5">
        <v>0</v>
      </c>
      <c r="J19" s="4">
        <v>17</v>
      </c>
      <c r="K19" s="4">
        <f>60*J19</f>
        <v>1020</v>
      </c>
      <c r="L19" s="20">
        <v>18</v>
      </c>
      <c r="M19">
        <v>2</v>
      </c>
      <c r="N19" s="20">
        <v>336</v>
      </c>
    </row>
    <row r="20" spans="1:14">
      <c r="A20" s="20">
        <v>18</v>
      </c>
      <c r="B20" s="5">
        <v>10</v>
      </c>
      <c r="C20" s="5">
        <v>2</v>
      </c>
      <c r="D20" s="5">
        <v>0</v>
      </c>
      <c r="J20" s="4">
        <v>18</v>
      </c>
      <c r="K20" s="4">
        <f>60*J20</f>
        <v>1080</v>
      </c>
      <c r="L20" s="20">
        <v>16</v>
      </c>
      <c r="M20">
        <v>1</v>
      </c>
      <c r="N20" s="20">
        <v>5</v>
      </c>
    </row>
    <row r="21" spans="1:14">
      <c r="A21" s="20">
        <v>19</v>
      </c>
      <c r="B21" s="5">
        <v>10</v>
      </c>
      <c r="C21" s="5">
        <v>2</v>
      </c>
      <c r="D21" s="5">
        <v>0</v>
      </c>
      <c r="J21" s="4">
        <v>19</v>
      </c>
      <c r="K21" s="4">
        <f>60*J21</f>
        <v>1140</v>
      </c>
      <c r="L21" s="20">
        <v>14</v>
      </c>
      <c r="M21">
        <v>2</v>
      </c>
      <c r="N21" s="20">
        <v>0</v>
      </c>
    </row>
    <row r="22" spans="1:14">
      <c r="A22" s="20">
        <v>20</v>
      </c>
      <c r="B22" s="5">
        <v>10</v>
      </c>
      <c r="C22" s="5">
        <v>2</v>
      </c>
      <c r="D22" s="5">
        <v>0</v>
      </c>
      <c r="J22" s="4">
        <v>20</v>
      </c>
      <c r="K22" s="4">
        <f>60*J22</f>
        <v>1200</v>
      </c>
      <c r="L22" s="20">
        <v>13</v>
      </c>
      <c r="M22">
        <v>2</v>
      </c>
      <c r="N22" s="20">
        <v>0</v>
      </c>
    </row>
    <row r="23" spans="1:14">
      <c r="A23" s="20">
        <v>21</v>
      </c>
      <c r="B23" s="5">
        <v>10</v>
      </c>
      <c r="C23" s="5">
        <v>2</v>
      </c>
      <c r="D23" s="5">
        <v>0</v>
      </c>
      <c r="J23" s="4">
        <v>21</v>
      </c>
      <c r="K23" s="4">
        <f>60*J23</f>
        <v>1260</v>
      </c>
      <c r="L23" s="20">
        <v>12</v>
      </c>
      <c r="M23">
        <v>2</v>
      </c>
      <c r="N23" s="20">
        <v>0</v>
      </c>
    </row>
    <row r="24" spans="1:14">
      <c r="A24" s="20">
        <v>22</v>
      </c>
      <c r="B24" s="5">
        <v>10</v>
      </c>
      <c r="C24" s="5">
        <v>2</v>
      </c>
      <c r="D24" s="5">
        <v>0</v>
      </c>
      <c r="J24" s="4">
        <v>22</v>
      </c>
      <c r="K24" s="4">
        <f>60*J24</f>
        <v>1320</v>
      </c>
      <c r="L24" s="20">
        <v>11</v>
      </c>
      <c r="M24">
        <v>2</v>
      </c>
      <c r="N24" s="20">
        <v>0</v>
      </c>
    </row>
    <row r="25" spans="1:14">
      <c r="A25" s="20">
        <v>23</v>
      </c>
      <c r="B25" s="5">
        <v>10</v>
      </c>
      <c r="C25" s="5">
        <v>2</v>
      </c>
      <c r="D25" s="5">
        <v>0</v>
      </c>
      <c r="J25" s="6">
        <v>23</v>
      </c>
      <c r="K25" s="6">
        <f>60*J25</f>
        <v>1380</v>
      </c>
      <c r="L25" s="10">
        <v>11</v>
      </c>
      <c r="M25" s="7">
        <v>2</v>
      </c>
      <c r="N25" s="10">
        <v>0</v>
      </c>
    </row>
    <row r="26" spans="1:14">
      <c r="A26" s="20">
        <v>24</v>
      </c>
      <c r="B26" s="5">
        <v>10</v>
      </c>
      <c r="C26" s="5">
        <v>2</v>
      </c>
      <c r="D26" s="5">
        <v>0</v>
      </c>
      <c r="J26" s="21" t="s">
        <v>56</v>
      </c>
      <c r="K26" s="21" t="s">
        <v>57</v>
      </c>
      <c r="L26" s="21" t="s">
        <v>58</v>
      </c>
      <c r="M26" s="21" t="s">
        <v>59</v>
      </c>
      <c r="N26" s="21" t="s">
        <v>60</v>
      </c>
    </row>
    <row r="27" spans="1:14">
      <c r="A27" s="20">
        <v>25</v>
      </c>
      <c r="B27" s="5">
        <v>10</v>
      </c>
      <c r="C27" s="5">
        <v>2</v>
      </c>
      <c r="D27" s="5">
        <v>0</v>
      </c>
    </row>
    <row r="28" spans="1:14">
      <c r="A28" s="20">
        <v>26</v>
      </c>
      <c r="B28" s="5">
        <v>10</v>
      </c>
      <c r="C28" s="5">
        <v>2</v>
      </c>
      <c r="D28" s="5">
        <v>0</v>
      </c>
    </row>
    <row r="29" spans="1:14">
      <c r="A29" s="20">
        <v>27</v>
      </c>
      <c r="B29" s="5">
        <v>10</v>
      </c>
      <c r="C29" s="5">
        <v>2</v>
      </c>
      <c r="D29" s="5">
        <v>0</v>
      </c>
    </row>
    <row r="30" spans="1:14">
      <c r="A30" s="20">
        <v>28</v>
      </c>
      <c r="B30" s="5">
        <v>10</v>
      </c>
      <c r="C30" s="5">
        <v>2</v>
      </c>
      <c r="D30" s="5">
        <v>0</v>
      </c>
    </row>
    <row r="31" spans="1:14">
      <c r="A31" s="20">
        <v>29</v>
      </c>
      <c r="B31" s="5">
        <v>10</v>
      </c>
      <c r="C31" s="5">
        <v>2</v>
      </c>
      <c r="D31" s="5">
        <v>0</v>
      </c>
    </row>
    <row r="32" spans="1:14">
      <c r="A32" s="20">
        <v>30</v>
      </c>
      <c r="B32" s="5">
        <v>10</v>
      </c>
      <c r="C32" s="5">
        <v>2</v>
      </c>
      <c r="D32" s="5">
        <v>0</v>
      </c>
    </row>
    <row r="33" spans="1:4">
      <c r="A33" s="20">
        <v>31</v>
      </c>
      <c r="B33" s="5">
        <v>10</v>
      </c>
      <c r="C33" s="5">
        <v>2</v>
      </c>
      <c r="D33" s="5">
        <v>0</v>
      </c>
    </row>
    <row r="34" spans="1:4">
      <c r="A34" s="20">
        <v>32</v>
      </c>
      <c r="B34" s="5">
        <v>10</v>
      </c>
      <c r="C34" s="5">
        <v>2</v>
      </c>
      <c r="D34" s="5">
        <v>0</v>
      </c>
    </row>
    <row r="35" spans="1:4">
      <c r="A35" s="20">
        <v>33</v>
      </c>
      <c r="B35" s="5">
        <v>10</v>
      </c>
      <c r="C35" s="5">
        <v>2</v>
      </c>
      <c r="D35" s="5">
        <v>0</v>
      </c>
    </row>
    <row r="36" spans="1:4">
      <c r="A36" s="20">
        <v>34</v>
      </c>
      <c r="B36" s="5">
        <v>10</v>
      </c>
      <c r="C36" s="5">
        <v>2</v>
      </c>
      <c r="D36" s="5">
        <v>0</v>
      </c>
    </row>
    <row r="37" spans="1:4">
      <c r="A37" s="20">
        <v>35</v>
      </c>
      <c r="B37" s="5">
        <v>10</v>
      </c>
      <c r="C37" s="5">
        <v>2</v>
      </c>
      <c r="D37" s="5">
        <v>0</v>
      </c>
    </row>
    <row r="38" spans="1:4">
      <c r="A38" s="20">
        <v>36</v>
      </c>
      <c r="B38" s="5">
        <v>10</v>
      </c>
      <c r="C38" s="5">
        <v>2</v>
      </c>
      <c r="D38" s="5">
        <v>0</v>
      </c>
    </row>
    <row r="39" spans="1:4">
      <c r="A39" s="20">
        <v>37</v>
      </c>
      <c r="B39" s="5">
        <v>10</v>
      </c>
      <c r="C39" s="5">
        <v>2</v>
      </c>
      <c r="D39" s="5">
        <v>0</v>
      </c>
    </row>
    <row r="40" spans="1:4">
      <c r="A40" s="20">
        <v>38</v>
      </c>
      <c r="B40" s="5">
        <v>10</v>
      </c>
      <c r="C40" s="5">
        <v>2</v>
      </c>
      <c r="D40" s="5">
        <v>0</v>
      </c>
    </row>
    <row r="41" spans="1:4">
      <c r="A41" s="20">
        <v>39</v>
      </c>
      <c r="B41" s="5">
        <v>10</v>
      </c>
      <c r="C41" s="5">
        <v>2</v>
      </c>
      <c r="D41" s="5">
        <v>0</v>
      </c>
    </row>
    <row r="42" spans="1:4">
      <c r="A42" s="20">
        <v>40</v>
      </c>
      <c r="B42" s="5">
        <v>10</v>
      </c>
      <c r="C42" s="5">
        <v>2</v>
      </c>
      <c r="D42" s="5">
        <v>0</v>
      </c>
    </row>
    <row r="43" spans="1:4">
      <c r="A43" s="20">
        <v>41</v>
      </c>
      <c r="B43" s="5">
        <v>10</v>
      </c>
      <c r="C43" s="5">
        <v>2</v>
      </c>
      <c r="D43" s="5">
        <v>0</v>
      </c>
    </row>
    <row r="44" spans="1:4">
      <c r="A44" s="20">
        <v>42</v>
      </c>
      <c r="B44" s="5">
        <v>10</v>
      </c>
      <c r="C44" s="5">
        <v>2</v>
      </c>
      <c r="D44" s="5">
        <v>0</v>
      </c>
    </row>
    <row r="45" spans="1:4">
      <c r="A45" s="20">
        <v>43</v>
      </c>
      <c r="B45" s="5">
        <v>10</v>
      </c>
      <c r="C45" s="5">
        <v>2</v>
      </c>
      <c r="D45" s="5">
        <v>0</v>
      </c>
    </row>
    <row r="46" spans="1:4">
      <c r="A46" s="20">
        <v>44</v>
      </c>
      <c r="B46" s="5">
        <v>10</v>
      </c>
      <c r="C46" s="5">
        <v>2</v>
      </c>
      <c r="D46" s="5">
        <v>0</v>
      </c>
    </row>
    <row r="47" spans="1:4">
      <c r="A47" s="20">
        <v>45</v>
      </c>
      <c r="B47" s="5">
        <v>10</v>
      </c>
      <c r="C47" s="5">
        <v>2</v>
      </c>
      <c r="D47" s="5">
        <v>0</v>
      </c>
    </row>
    <row r="48" spans="1:4">
      <c r="A48" s="20">
        <v>46</v>
      </c>
      <c r="B48" s="5">
        <v>10</v>
      </c>
      <c r="C48" s="5">
        <v>2</v>
      </c>
      <c r="D48" s="5">
        <v>0</v>
      </c>
    </row>
    <row r="49" spans="1:4">
      <c r="A49" s="20">
        <v>47</v>
      </c>
      <c r="B49" s="5">
        <v>10</v>
      </c>
      <c r="C49" s="5">
        <v>2</v>
      </c>
      <c r="D49" s="5">
        <v>0</v>
      </c>
    </row>
    <row r="50" spans="1:4">
      <c r="A50" s="20">
        <v>48</v>
      </c>
      <c r="B50" s="5">
        <v>10</v>
      </c>
      <c r="C50" s="5">
        <v>2</v>
      </c>
      <c r="D50" s="5">
        <v>0</v>
      </c>
    </row>
    <row r="51" spans="1:4">
      <c r="A51" s="20">
        <v>49</v>
      </c>
      <c r="B51" s="5">
        <v>10</v>
      </c>
      <c r="C51" s="5">
        <v>2</v>
      </c>
      <c r="D51" s="5">
        <v>0</v>
      </c>
    </row>
    <row r="52" spans="1:4">
      <c r="A52" s="20">
        <v>50</v>
      </c>
      <c r="B52" s="5">
        <v>10</v>
      </c>
      <c r="C52" s="5">
        <v>2</v>
      </c>
      <c r="D52" s="5">
        <v>0</v>
      </c>
    </row>
    <row r="53" spans="1:4">
      <c r="A53" s="20">
        <v>51</v>
      </c>
      <c r="B53" s="5">
        <v>10</v>
      </c>
      <c r="C53" s="5">
        <v>2</v>
      </c>
      <c r="D53" s="5">
        <v>0</v>
      </c>
    </row>
    <row r="54" spans="1:4">
      <c r="A54" s="20">
        <v>52</v>
      </c>
      <c r="B54" s="5">
        <v>10</v>
      </c>
      <c r="C54" s="5">
        <v>2</v>
      </c>
      <c r="D54" s="5">
        <v>0</v>
      </c>
    </row>
    <row r="55" spans="1:4">
      <c r="A55" s="20">
        <v>53</v>
      </c>
      <c r="B55" s="5">
        <v>10</v>
      </c>
      <c r="C55" s="5">
        <v>2</v>
      </c>
      <c r="D55" s="5">
        <v>0</v>
      </c>
    </row>
    <row r="56" spans="1:4">
      <c r="A56" s="20">
        <v>54</v>
      </c>
      <c r="B56" s="5">
        <v>10</v>
      </c>
      <c r="C56" s="5">
        <v>2</v>
      </c>
      <c r="D56" s="5">
        <v>0</v>
      </c>
    </row>
    <row r="57" spans="1:4">
      <c r="A57" s="20">
        <v>55</v>
      </c>
      <c r="B57" s="5">
        <v>10</v>
      </c>
      <c r="C57" s="5">
        <v>2</v>
      </c>
      <c r="D57" s="5">
        <v>0</v>
      </c>
    </row>
    <row r="58" spans="1:4">
      <c r="A58" s="20">
        <v>56</v>
      </c>
      <c r="B58" s="5">
        <v>10</v>
      </c>
      <c r="C58" s="5">
        <v>2</v>
      </c>
      <c r="D58" s="5">
        <v>0</v>
      </c>
    </row>
    <row r="59" spans="1:4">
      <c r="A59" s="20">
        <v>57</v>
      </c>
      <c r="B59" s="5">
        <v>10</v>
      </c>
      <c r="C59" s="5">
        <v>2</v>
      </c>
      <c r="D59" s="5">
        <v>0</v>
      </c>
    </row>
    <row r="60" spans="1:4">
      <c r="A60" s="20">
        <v>58</v>
      </c>
      <c r="B60" s="5">
        <v>10</v>
      </c>
      <c r="C60" s="5">
        <v>2</v>
      </c>
      <c r="D60" s="5">
        <v>0</v>
      </c>
    </row>
    <row r="61" spans="1:4">
      <c r="A61" s="20">
        <v>59</v>
      </c>
      <c r="B61" s="5">
        <v>10</v>
      </c>
      <c r="C61" s="5">
        <v>2</v>
      </c>
      <c r="D61" s="5">
        <v>0</v>
      </c>
    </row>
    <row r="62" spans="1:4">
      <c r="A62" s="20">
        <v>60</v>
      </c>
      <c r="B62" s="5">
        <v>10</v>
      </c>
      <c r="C62" s="5">
        <v>2</v>
      </c>
      <c r="D62" s="5">
        <v>0</v>
      </c>
    </row>
    <row r="63" spans="1:4">
      <c r="A63" s="20">
        <v>61</v>
      </c>
      <c r="B63" s="5">
        <v>10</v>
      </c>
      <c r="C63" s="5">
        <v>2</v>
      </c>
      <c r="D63" s="5">
        <v>0</v>
      </c>
    </row>
    <row r="64" spans="1:4">
      <c r="A64" s="20">
        <v>62</v>
      </c>
      <c r="B64" s="5">
        <v>10</v>
      </c>
      <c r="C64" s="5">
        <v>2</v>
      </c>
      <c r="D64" s="5">
        <v>0</v>
      </c>
    </row>
    <row r="65" spans="1:4">
      <c r="A65" s="20">
        <v>63</v>
      </c>
      <c r="B65" s="5">
        <v>10</v>
      </c>
      <c r="C65" s="5">
        <v>2</v>
      </c>
      <c r="D65" s="5">
        <v>0</v>
      </c>
    </row>
    <row r="66" spans="1:4">
      <c r="A66" s="20">
        <v>64</v>
      </c>
      <c r="B66" s="5">
        <v>10</v>
      </c>
      <c r="C66" s="5">
        <v>2</v>
      </c>
      <c r="D66" s="5">
        <v>0</v>
      </c>
    </row>
    <row r="67" spans="1:4">
      <c r="A67" s="20">
        <v>65</v>
      </c>
      <c r="B67" s="5">
        <v>10</v>
      </c>
      <c r="C67" s="5">
        <v>2</v>
      </c>
      <c r="D67" s="5">
        <v>0</v>
      </c>
    </row>
    <row r="68" spans="1:4">
      <c r="A68" s="20">
        <v>66</v>
      </c>
      <c r="B68" s="5">
        <v>10</v>
      </c>
      <c r="C68" s="5">
        <v>2</v>
      </c>
      <c r="D68" s="5">
        <v>0</v>
      </c>
    </row>
    <row r="69" spans="1:4">
      <c r="A69" s="20">
        <v>67</v>
      </c>
      <c r="B69" s="5">
        <v>10</v>
      </c>
      <c r="C69" s="5">
        <v>2</v>
      </c>
      <c r="D69" s="5">
        <v>0</v>
      </c>
    </row>
    <row r="70" spans="1:4">
      <c r="A70" s="20">
        <v>68</v>
      </c>
      <c r="B70" s="5">
        <v>10</v>
      </c>
      <c r="C70" s="5">
        <v>2</v>
      </c>
      <c r="D70" s="5">
        <v>0</v>
      </c>
    </row>
    <row r="71" spans="1:4">
      <c r="A71" s="20">
        <v>69</v>
      </c>
      <c r="B71" s="5">
        <v>10</v>
      </c>
      <c r="C71" s="5">
        <v>2</v>
      </c>
      <c r="D71" s="5">
        <v>0</v>
      </c>
    </row>
    <row r="72" spans="1:4">
      <c r="A72" s="20">
        <v>70</v>
      </c>
      <c r="B72" s="5">
        <v>10</v>
      </c>
      <c r="C72" s="5">
        <v>2</v>
      </c>
      <c r="D72" s="5">
        <v>0</v>
      </c>
    </row>
    <row r="73" spans="1:4">
      <c r="A73" s="20">
        <v>71</v>
      </c>
      <c r="B73" s="5">
        <v>10</v>
      </c>
      <c r="C73" s="5">
        <v>2</v>
      </c>
      <c r="D73" s="5">
        <v>0</v>
      </c>
    </row>
    <row r="74" spans="1:4">
      <c r="A74" s="20">
        <v>72</v>
      </c>
      <c r="B74" s="5">
        <v>10</v>
      </c>
      <c r="C74" s="5">
        <v>2</v>
      </c>
      <c r="D74" s="5">
        <v>0</v>
      </c>
    </row>
    <row r="75" spans="1:4">
      <c r="A75" s="20">
        <v>73</v>
      </c>
      <c r="B75" s="5">
        <v>10</v>
      </c>
      <c r="C75" s="5">
        <v>2</v>
      </c>
      <c r="D75" s="5">
        <v>0</v>
      </c>
    </row>
    <row r="76" spans="1:4">
      <c r="A76" s="20">
        <v>74</v>
      </c>
      <c r="B76" s="5">
        <v>10</v>
      </c>
      <c r="C76" s="5">
        <v>2</v>
      </c>
      <c r="D76" s="5">
        <v>0</v>
      </c>
    </row>
    <row r="77" spans="1:4">
      <c r="A77" s="20">
        <v>75</v>
      </c>
      <c r="B77" s="5">
        <v>10</v>
      </c>
      <c r="C77" s="5">
        <v>2</v>
      </c>
      <c r="D77" s="5">
        <v>0</v>
      </c>
    </row>
    <row r="78" spans="1:4">
      <c r="A78" s="20">
        <v>76</v>
      </c>
      <c r="B78" s="5">
        <v>10</v>
      </c>
      <c r="C78" s="5">
        <v>2</v>
      </c>
      <c r="D78" s="5">
        <v>0</v>
      </c>
    </row>
    <row r="79" spans="1:4">
      <c r="A79" s="20">
        <v>77</v>
      </c>
      <c r="B79" s="5">
        <v>10</v>
      </c>
      <c r="C79" s="5">
        <v>2</v>
      </c>
      <c r="D79" s="5">
        <v>0</v>
      </c>
    </row>
    <row r="80" spans="1:4">
      <c r="A80" s="20">
        <v>78</v>
      </c>
      <c r="B80" s="5">
        <v>10</v>
      </c>
      <c r="C80" s="5">
        <v>2</v>
      </c>
      <c r="D80" s="5">
        <v>0</v>
      </c>
    </row>
    <row r="81" spans="1:4">
      <c r="A81" s="20">
        <v>79</v>
      </c>
      <c r="B81" s="5">
        <v>10</v>
      </c>
      <c r="C81" s="5">
        <v>2</v>
      </c>
      <c r="D81" s="5">
        <v>0</v>
      </c>
    </row>
    <row r="82" spans="1:4">
      <c r="A82" s="20">
        <v>80</v>
      </c>
      <c r="B82" s="5">
        <v>10</v>
      </c>
      <c r="C82" s="5">
        <v>2</v>
      </c>
      <c r="D82" s="5">
        <v>0</v>
      </c>
    </row>
    <row r="83" spans="1:4">
      <c r="A83" s="20">
        <v>81</v>
      </c>
      <c r="B83" s="5">
        <v>10</v>
      </c>
      <c r="C83" s="5">
        <v>2</v>
      </c>
      <c r="D83" s="5">
        <v>0</v>
      </c>
    </row>
    <row r="84" spans="1:4">
      <c r="A84" s="20">
        <v>82</v>
      </c>
      <c r="B84" s="5">
        <v>10</v>
      </c>
      <c r="C84" s="5">
        <v>2</v>
      </c>
      <c r="D84" s="5">
        <v>0</v>
      </c>
    </row>
    <row r="85" spans="1:4">
      <c r="A85" s="20">
        <v>83</v>
      </c>
      <c r="B85" s="5">
        <v>10</v>
      </c>
      <c r="C85" s="5">
        <v>2</v>
      </c>
      <c r="D85" s="5">
        <v>0</v>
      </c>
    </row>
    <row r="86" spans="1:4">
      <c r="A86" s="20">
        <v>84</v>
      </c>
      <c r="B86" s="5">
        <v>10</v>
      </c>
      <c r="C86" s="5">
        <v>2</v>
      </c>
      <c r="D86" s="5">
        <v>0</v>
      </c>
    </row>
    <row r="87" spans="1:4">
      <c r="A87" s="20">
        <v>85</v>
      </c>
      <c r="B87" s="5">
        <v>10</v>
      </c>
      <c r="C87" s="5">
        <v>2</v>
      </c>
      <c r="D87" s="5">
        <v>0</v>
      </c>
    </row>
    <row r="88" spans="1:4">
      <c r="A88" s="20">
        <v>86</v>
      </c>
      <c r="B88" s="5">
        <v>10</v>
      </c>
      <c r="C88" s="5">
        <v>2</v>
      </c>
      <c r="D88" s="5">
        <v>0</v>
      </c>
    </row>
    <row r="89" spans="1:4">
      <c r="A89" s="20">
        <v>87</v>
      </c>
      <c r="B89" s="5">
        <v>10</v>
      </c>
      <c r="C89" s="5">
        <v>2</v>
      </c>
      <c r="D89" s="5">
        <v>0</v>
      </c>
    </row>
    <row r="90" spans="1:4">
      <c r="A90" s="20">
        <v>88</v>
      </c>
      <c r="B90" s="5">
        <v>10</v>
      </c>
      <c r="C90" s="5">
        <v>2</v>
      </c>
      <c r="D90" s="5">
        <v>0</v>
      </c>
    </row>
    <row r="91" spans="1:4">
      <c r="A91" s="20">
        <v>89</v>
      </c>
      <c r="B91" s="5">
        <v>10</v>
      </c>
      <c r="C91" s="5">
        <v>2</v>
      </c>
      <c r="D91" s="5">
        <v>0</v>
      </c>
    </row>
    <row r="92" spans="1:4">
      <c r="A92" s="20">
        <v>90</v>
      </c>
      <c r="B92" s="5">
        <v>10</v>
      </c>
      <c r="C92" s="5">
        <v>2</v>
      </c>
      <c r="D92" s="5">
        <v>0</v>
      </c>
    </row>
    <row r="93" spans="1:4">
      <c r="A93" s="20">
        <v>91</v>
      </c>
      <c r="B93" s="5">
        <v>10</v>
      </c>
      <c r="C93" s="5">
        <v>2</v>
      </c>
      <c r="D93" s="5">
        <v>0</v>
      </c>
    </row>
    <row r="94" spans="1:4">
      <c r="A94" s="20">
        <v>92</v>
      </c>
      <c r="B94" s="5">
        <v>10</v>
      </c>
      <c r="C94" s="5">
        <v>2</v>
      </c>
      <c r="D94" s="5">
        <v>0</v>
      </c>
    </row>
    <row r="95" spans="1:4">
      <c r="A95" s="20">
        <v>93</v>
      </c>
      <c r="B95" s="5">
        <v>10</v>
      </c>
      <c r="C95" s="5">
        <v>2</v>
      </c>
      <c r="D95" s="5">
        <v>0</v>
      </c>
    </row>
    <row r="96" spans="1:4">
      <c r="A96" s="20">
        <v>94</v>
      </c>
      <c r="B96" s="5">
        <v>10</v>
      </c>
      <c r="C96" s="5">
        <v>2</v>
      </c>
      <c r="D96" s="5">
        <v>0</v>
      </c>
    </row>
    <row r="97" spans="1:4">
      <c r="A97" s="20">
        <v>95</v>
      </c>
      <c r="B97" s="5">
        <v>10</v>
      </c>
      <c r="C97" s="5">
        <v>2</v>
      </c>
      <c r="D97" s="5">
        <v>0</v>
      </c>
    </row>
    <row r="98" spans="1:4">
      <c r="A98" s="20">
        <v>96</v>
      </c>
      <c r="B98" s="5">
        <v>10</v>
      </c>
      <c r="C98" s="5">
        <v>2</v>
      </c>
      <c r="D98" s="5">
        <v>0</v>
      </c>
    </row>
    <row r="99" spans="1:4">
      <c r="A99" s="20">
        <v>97</v>
      </c>
      <c r="B99" s="5">
        <v>10</v>
      </c>
      <c r="C99" s="5">
        <v>2</v>
      </c>
      <c r="D99" s="5">
        <v>0</v>
      </c>
    </row>
    <row r="100" spans="1:4">
      <c r="A100" s="20">
        <v>98</v>
      </c>
      <c r="B100" s="5">
        <v>10</v>
      </c>
      <c r="C100" s="5">
        <v>2</v>
      </c>
      <c r="D100" s="5">
        <v>0</v>
      </c>
    </row>
    <row r="101" spans="1:4">
      <c r="A101" s="20">
        <v>99</v>
      </c>
      <c r="B101" s="5">
        <v>10</v>
      </c>
      <c r="C101" s="5">
        <v>2</v>
      </c>
      <c r="D101" s="5">
        <v>0</v>
      </c>
    </row>
    <row r="102" spans="1:4">
      <c r="A102" s="20">
        <v>100</v>
      </c>
      <c r="B102" s="5">
        <v>10</v>
      </c>
      <c r="C102" s="5">
        <v>2</v>
      </c>
      <c r="D102" s="5">
        <v>0</v>
      </c>
    </row>
    <row r="103" spans="1:4">
      <c r="A103" s="20">
        <v>101</v>
      </c>
      <c r="B103" s="5">
        <v>10</v>
      </c>
      <c r="C103" s="5">
        <v>2</v>
      </c>
      <c r="D103" s="5">
        <v>0</v>
      </c>
    </row>
    <row r="104" spans="1:4">
      <c r="A104" s="20">
        <v>102</v>
      </c>
      <c r="B104" s="5">
        <v>10</v>
      </c>
      <c r="C104" s="5">
        <v>2</v>
      </c>
      <c r="D104" s="5">
        <v>0</v>
      </c>
    </row>
    <row r="105" spans="1:4">
      <c r="A105" s="20">
        <v>103</v>
      </c>
      <c r="B105" s="5">
        <v>10</v>
      </c>
      <c r="C105" s="5">
        <v>2</v>
      </c>
      <c r="D105" s="5">
        <v>0</v>
      </c>
    </row>
    <row r="106" spans="1:4">
      <c r="A106" s="20">
        <v>104</v>
      </c>
      <c r="B106" s="5">
        <v>10</v>
      </c>
      <c r="C106" s="5">
        <v>2</v>
      </c>
      <c r="D106" s="5">
        <v>0</v>
      </c>
    </row>
    <row r="107" spans="1:4">
      <c r="A107" s="20">
        <v>105</v>
      </c>
      <c r="B107" s="5">
        <v>10</v>
      </c>
      <c r="C107" s="5">
        <v>2</v>
      </c>
      <c r="D107" s="5">
        <v>0</v>
      </c>
    </row>
    <row r="108" spans="1:4">
      <c r="A108" s="20">
        <v>106</v>
      </c>
      <c r="B108" s="5">
        <v>10</v>
      </c>
      <c r="C108" s="5">
        <v>2</v>
      </c>
      <c r="D108" s="5">
        <v>0</v>
      </c>
    </row>
    <row r="109" spans="1:4">
      <c r="A109" s="20">
        <v>107</v>
      </c>
      <c r="B109" s="5">
        <v>10</v>
      </c>
      <c r="C109" s="5">
        <v>2</v>
      </c>
      <c r="D109" s="5">
        <v>0</v>
      </c>
    </row>
    <row r="110" spans="1:4">
      <c r="A110" s="20">
        <v>108</v>
      </c>
      <c r="B110" s="5">
        <v>10</v>
      </c>
      <c r="C110" s="5">
        <v>2</v>
      </c>
      <c r="D110" s="5">
        <v>0</v>
      </c>
    </row>
    <row r="111" spans="1:4">
      <c r="A111" s="20">
        <v>109</v>
      </c>
      <c r="B111" s="5">
        <v>10</v>
      </c>
      <c r="C111" s="5">
        <v>2</v>
      </c>
      <c r="D111" s="5">
        <v>0</v>
      </c>
    </row>
    <row r="112" spans="1:4">
      <c r="A112" s="20">
        <v>110</v>
      </c>
      <c r="B112" s="5">
        <v>10</v>
      </c>
      <c r="C112" s="5">
        <v>2</v>
      </c>
      <c r="D112" s="5">
        <v>0</v>
      </c>
    </row>
    <row r="113" spans="1:4">
      <c r="A113" s="20">
        <v>111</v>
      </c>
      <c r="B113" s="5">
        <v>10</v>
      </c>
      <c r="C113" s="5">
        <v>2</v>
      </c>
      <c r="D113" s="5">
        <v>0</v>
      </c>
    </row>
    <row r="114" spans="1:4">
      <c r="A114" s="20">
        <v>112</v>
      </c>
      <c r="B114" s="5">
        <v>10</v>
      </c>
      <c r="C114" s="5">
        <v>2</v>
      </c>
      <c r="D114" s="5">
        <v>0</v>
      </c>
    </row>
    <row r="115" spans="1:4">
      <c r="A115" s="20">
        <v>113</v>
      </c>
      <c r="B115" s="5">
        <v>10</v>
      </c>
      <c r="C115" s="5">
        <v>2</v>
      </c>
      <c r="D115" s="5">
        <v>0</v>
      </c>
    </row>
    <row r="116" spans="1:4">
      <c r="A116" s="20">
        <v>114</v>
      </c>
      <c r="B116" s="5">
        <v>10</v>
      </c>
      <c r="C116" s="5">
        <v>2</v>
      </c>
      <c r="D116" s="5">
        <v>0</v>
      </c>
    </row>
    <row r="117" spans="1:4">
      <c r="A117" s="20">
        <v>115</v>
      </c>
      <c r="B117" s="5">
        <v>10</v>
      </c>
      <c r="C117" s="5">
        <v>2</v>
      </c>
      <c r="D117" s="5">
        <v>0</v>
      </c>
    </row>
    <row r="118" spans="1:4">
      <c r="A118" s="20">
        <v>116</v>
      </c>
      <c r="B118" s="5">
        <v>10</v>
      </c>
      <c r="C118" s="5">
        <v>2</v>
      </c>
      <c r="D118" s="5">
        <v>0</v>
      </c>
    </row>
    <row r="119" spans="1:4">
      <c r="A119" s="20">
        <v>117</v>
      </c>
      <c r="B119" s="5">
        <v>10</v>
      </c>
      <c r="C119" s="5">
        <v>2</v>
      </c>
      <c r="D119" s="5">
        <v>0</v>
      </c>
    </row>
    <row r="120" spans="1:4">
      <c r="A120" s="20">
        <v>118</v>
      </c>
      <c r="B120" s="5">
        <v>10</v>
      </c>
      <c r="C120" s="5">
        <v>2</v>
      </c>
      <c r="D120" s="5">
        <v>0</v>
      </c>
    </row>
    <row r="121" spans="1:4">
      <c r="A121" s="20">
        <v>119</v>
      </c>
      <c r="B121" s="5">
        <v>10</v>
      </c>
      <c r="C121" s="5">
        <v>2</v>
      </c>
      <c r="D121" s="5">
        <v>0</v>
      </c>
    </row>
    <row r="122" spans="1:4">
      <c r="A122" s="20">
        <v>120</v>
      </c>
      <c r="B122" s="5">
        <v>10</v>
      </c>
      <c r="C122" s="5">
        <v>2</v>
      </c>
      <c r="D122" s="5">
        <v>0</v>
      </c>
    </row>
    <row r="123" spans="1:4">
      <c r="A123" s="20">
        <v>121</v>
      </c>
      <c r="B123" s="5">
        <v>10</v>
      </c>
      <c r="C123" s="5">
        <v>2</v>
      </c>
      <c r="D123" s="5">
        <v>0</v>
      </c>
    </row>
    <row r="124" spans="1:4">
      <c r="A124" s="20">
        <v>122</v>
      </c>
      <c r="B124" s="5">
        <v>10</v>
      </c>
      <c r="C124" s="5">
        <v>2</v>
      </c>
      <c r="D124" s="5">
        <v>0</v>
      </c>
    </row>
    <row r="125" spans="1:4">
      <c r="A125" s="20">
        <v>123</v>
      </c>
      <c r="B125" s="5">
        <v>10</v>
      </c>
      <c r="C125" s="5">
        <v>2</v>
      </c>
      <c r="D125" s="5">
        <v>0</v>
      </c>
    </row>
    <row r="126" spans="1:4">
      <c r="A126" s="20">
        <v>124</v>
      </c>
      <c r="B126" s="5">
        <v>10</v>
      </c>
      <c r="C126" s="5">
        <v>2</v>
      </c>
      <c r="D126" s="5">
        <v>0</v>
      </c>
    </row>
    <row r="127" spans="1:4">
      <c r="A127" s="20">
        <v>125</v>
      </c>
      <c r="B127" s="5">
        <v>10</v>
      </c>
      <c r="C127" s="5">
        <v>2</v>
      </c>
      <c r="D127" s="5">
        <v>0</v>
      </c>
    </row>
    <row r="128" spans="1:4">
      <c r="A128" s="20">
        <v>126</v>
      </c>
      <c r="B128" s="5">
        <v>10</v>
      </c>
      <c r="C128" s="5">
        <v>2</v>
      </c>
      <c r="D128" s="5">
        <v>0</v>
      </c>
    </row>
    <row r="129" spans="1:4">
      <c r="A129" s="20">
        <v>127</v>
      </c>
      <c r="B129" s="5">
        <v>10</v>
      </c>
      <c r="C129" s="5">
        <v>2</v>
      </c>
      <c r="D129" s="5">
        <v>0</v>
      </c>
    </row>
    <row r="130" spans="1:4">
      <c r="A130" s="20">
        <v>128</v>
      </c>
      <c r="B130" s="5">
        <v>10</v>
      </c>
      <c r="C130" s="5">
        <v>2</v>
      </c>
      <c r="D130" s="5">
        <v>0</v>
      </c>
    </row>
    <row r="131" spans="1:4">
      <c r="A131" s="20">
        <v>129</v>
      </c>
      <c r="B131" s="5">
        <v>10</v>
      </c>
      <c r="C131" s="5">
        <v>2</v>
      </c>
      <c r="D131" s="5">
        <v>0</v>
      </c>
    </row>
    <row r="132" spans="1:4">
      <c r="A132" s="20">
        <v>130</v>
      </c>
      <c r="B132" s="5">
        <v>10</v>
      </c>
      <c r="C132" s="5">
        <v>2</v>
      </c>
      <c r="D132" s="5">
        <v>0</v>
      </c>
    </row>
    <row r="133" spans="1:4">
      <c r="A133" s="20">
        <v>131</v>
      </c>
      <c r="B133" s="5">
        <v>10</v>
      </c>
      <c r="C133" s="5">
        <v>2</v>
      </c>
      <c r="D133" s="5">
        <v>0</v>
      </c>
    </row>
    <row r="134" spans="1:4">
      <c r="A134" s="20">
        <v>132</v>
      </c>
      <c r="B134" s="5">
        <v>10</v>
      </c>
      <c r="C134" s="5">
        <v>2</v>
      </c>
      <c r="D134" s="5">
        <v>0</v>
      </c>
    </row>
    <row r="135" spans="1:4">
      <c r="A135" s="20">
        <v>133</v>
      </c>
      <c r="B135" s="5">
        <v>10</v>
      </c>
      <c r="C135" s="5">
        <v>2</v>
      </c>
      <c r="D135" s="5">
        <v>0</v>
      </c>
    </row>
    <row r="136" spans="1:4">
      <c r="A136" s="20">
        <v>134</v>
      </c>
      <c r="B136" s="5">
        <v>10</v>
      </c>
      <c r="C136" s="5">
        <v>2</v>
      </c>
      <c r="D136" s="5">
        <v>0</v>
      </c>
    </row>
    <row r="137" spans="1:4">
      <c r="A137" s="20">
        <v>135</v>
      </c>
      <c r="B137" s="5">
        <v>10</v>
      </c>
      <c r="C137" s="5">
        <v>2</v>
      </c>
      <c r="D137" s="5">
        <v>0</v>
      </c>
    </row>
    <row r="138" spans="1:4">
      <c r="A138" s="20">
        <v>136</v>
      </c>
      <c r="B138" s="5">
        <v>10</v>
      </c>
      <c r="C138" s="5">
        <v>2</v>
      </c>
      <c r="D138" s="5">
        <v>0</v>
      </c>
    </row>
    <row r="139" spans="1:4">
      <c r="A139" s="20">
        <v>137</v>
      </c>
      <c r="B139" s="5">
        <v>10</v>
      </c>
      <c r="C139" s="5">
        <v>2</v>
      </c>
      <c r="D139" s="5">
        <v>0</v>
      </c>
    </row>
    <row r="140" spans="1:4">
      <c r="A140" s="20">
        <v>138</v>
      </c>
      <c r="B140" s="5">
        <v>10</v>
      </c>
      <c r="C140" s="5">
        <v>2</v>
      </c>
      <c r="D140" s="5">
        <v>0</v>
      </c>
    </row>
    <row r="141" spans="1:4">
      <c r="A141" s="20">
        <v>139</v>
      </c>
      <c r="B141" s="5">
        <v>10</v>
      </c>
      <c r="C141" s="5">
        <v>2</v>
      </c>
      <c r="D141" s="5">
        <v>0</v>
      </c>
    </row>
    <row r="142" spans="1:4">
      <c r="A142" s="20">
        <v>140</v>
      </c>
      <c r="B142" s="5">
        <v>10</v>
      </c>
      <c r="C142" s="5">
        <v>2</v>
      </c>
      <c r="D142" s="5">
        <v>0</v>
      </c>
    </row>
    <row r="143" spans="1:4">
      <c r="A143" s="20">
        <v>141</v>
      </c>
      <c r="B143" s="5">
        <v>10</v>
      </c>
      <c r="C143" s="5">
        <v>2</v>
      </c>
      <c r="D143" s="5">
        <v>0</v>
      </c>
    </row>
    <row r="144" spans="1:4">
      <c r="A144" s="20">
        <v>142</v>
      </c>
      <c r="B144" s="5">
        <v>10</v>
      </c>
      <c r="C144" s="5">
        <v>2</v>
      </c>
      <c r="D144" s="5">
        <v>0</v>
      </c>
    </row>
    <row r="145" spans="1:4">
      <c r="A145" s="20">
        <v>143</v>
      </c>
      <c r="B145" s="5">
        <v>10</v>
      </c>
      <c r="C145" s="5">
        <v>2</v>
      </c>
      <c r="D145" s="5">
        <v>0</v>
      </c>
    </row>
    <row r="146" spans="1:4">
      <c r="A146" s="20">
        <v>144</v>
      </c>
      <c r="B146" s="5">
        <v>10</v>
      </c>
      <c r="C146" s="5">
        <v>2</v>
      </c>
      <c r="D146" s="5">
        <v>0</v>
      </c>
    </row>
    <row r="147" spans="1:4">
      <c r="A147" s="20">
        <v>145</v>
      </c>
      <c r="B147" s="5">
        <v>10</v>
      </c>
      <c r="C147" s="5">
        <v>2</v>
      </c>
      <c r="D147" s="5">
        <v>0</v>
      </c>
    </row>
    <row r="148" spans="1:4">
      <c r="A148" s="20">
        <v>146</v>
      </c>
      <c r="B148" s="5">
        <v>10</v>
      </c>
      <c r="C148" s="5">
        <v>2</v>
      </c>
      <c r="D148" s="5">
        <v>0</v>
      </c>
    </row>
    <row r="149" spans="1:4">
      <c r="A149" s="20">
        <v>147</v>
      </c>
      <c r="B149" s="5">
        <v>10</v>
      </c>
      <c r="C149" s="5">
        <v>2</v>
      </c>
      <c r="D149" s="5">
        <v>0</v>
      </c>
    </row>
    <row r="150" spans="1:4">
      <c r="A150" s="20">
        <v>148</v>
      </c>
      <c r="B150" s="5">
        <v>10</v>
      </c>
      <c r="C150" s="5">
        <v>2</v>
      </c>
      <c r="D150" s="5">
        <v>0</v>
      </c>
    </row>
    <row r="151" spans="1:4">
      <c r="A151" s="20">
        <v>149</v>
      </c>
      <c r="B151" s="5">
        <v>10</v>
      </c>
      <c r="C151" s="5">
        <v>2</v>
      </c>
      <c r="D151" s="5">
        <v>0</v>
      </c>
    </row>
    <row r="152" spans="1:4">
      <c r="A152" s="20">
        <v>150</v>
      </c>
      <c r="B152" s="5">
        <v>10</v>
      </c>
      <c r="C152" s="5">
        <v>2</v>
      </c>
      <c r="D152" s="5">
        <v>0</v>
      </c>
    </row>
    <row r="153" spans="1:4">
      <c r="A153" s="20">
        <v>151</v>
      </c>
      <c r="B153" s="5">
        <v>10</v>
      </c>
      <c r="C153" s="5">
        <v>2</v>
      </c>
      <c r="D153" s="5">
        <v>0</v>
      </c>
    </row>
    <row r="154" spans="1:4">
      <c r="A154" s="20">
        <v>152</v>
      </c>
      <c r="B154" s="5">
        <v>10</v>
      </c>
      <c r="C154" s="5">
        <v>2</v>
      </c>
      <c r="D154" s="5">
        <v>0</v>
      </c>
    </row>
    <row r="155" spans="1:4">
      <c r="A155" s="20">
        <v>153</v>
      </c>
      <c r="B155" s="5">
        <v>10</v>
      </c>
      <c r="C155" s="5">
        <v>2</v>
      </c>
      <c r="D155" s="5">
        <v>0</v>
      </c>
    </row>
    <row r="156" spans="1:4">
      <c r="A156" s="20">
        <v>154</v>
      </c>
      <c r="B156" s="5">
        <v>10</v>
      </c>
      <c r="C156" s="5">
        <v>2</v>
      </c>
      <c r="D156" s="5">
        <v>0</v>
      </c>
    </row>
    <row r="157" spans="1:4">
      <c r="A157" s="20">
        <v>155</v>
      </c>
      <c r="B157" s="5">
        <v>10</v>
      </c>
      <c r="C157" s="5">
        <v>2</v>
      </c>
      <c r="D157" s="5">
        <v>0</v>
      </c>
    </row>
    <row r="158" spans="1:4">
      <c r="A158" s="20">
        <v>156</v>
      </c>
      <c r="B158" s="5">
        <v>10</v>
      </c>
      <c r="C158" s="5">
        <v>2</v>
      </c>
      <c r="D158" s="5">
        <v>0</v>
      </c>
    </row>
    <row r="159" spans="1:4">
      <c r="A159" s="20">
        <v>157</v>
      </c>
      <c r="B159" s="5">
        <v>10</v>
      </c>
      <c r="C159" s="5">
        <v>2</v>
      </c>
      <c r="D159" s="5">
        <v>0</v>
      </c>
    </row>
    <row r="160" spans="1:4">
      <c r="A160" s="20">
        <v>158</v>
      </c>
      <c r="B160" s="5">
        <v>10</v>
      </c>
      <c r="C160" s="5">
        <v>2</v>
      </c>
      <c r="D160" s="5">
        <v>0</v>
      </c>
    </row>
    <row r="161" spans="1:4">
      <c r="A161" s="20">
        <v>159</v>
      </c>
      <c r="B161" s="5">
        <v>10</v>
      </c>
      <c r="C161" s="5">
        <v>2</v>
      </c>
      <c r="D161" s="5">
        <v>0</v>
      </c>
    </row>
    <row r="162" spans="1:4">
      <c r="A162" s="20">
        <v>160</v>
      </c>
      <c r="B162" s="5">
        <v>10</v>
      </c>
      <c r="C162" s="5">
        <v>2</v>
      </c>
      <c r="D162" s="5">
        <v>0</v>
      </c>
    </row>
    <row r="163" spans="1:4">
      <c r="A163" s="20">
        <v>161</v>
      </c>
      <c r="B163" s="5">
        <v>10</v>
      </c>
      <c r="C163" s="5">
        <v>2</v>
      </c>
      <c r="D163" s="5">
        <v>0</v>
      </c>
    </row>
    <row r="164" spans="1:4">
      <c r="A164" s="20">
        <v>162</v>
      </c>
      <c r="B164" s="5">
        <v>10</v>
      </c>
      <c r="C164" s="5">
        <v>2</v>
      </c>
      <c r="D164" s="5">
        <v>0</v>
      </c>
    </row>
    <row r="165" spans="1:4">
      <c r="A165" s="20">
        <v>163</v>
      </c>
      <c r="B165" s="5">
        <v>10</v>
      </c>
      <c r="C165" s="5">
        <v>2</v>
      </c>
      <c r="D165" s="5">
        <v>0</v>
      </c>
    </row>
    <row r="166" spans="1:4">
      <c r="A166" s="20">
        <v>164</v>
      </c>
      <c r="B166" s="5">
        <v>10</v>
      </c>
      <c r="C166" s="5">
        <v>2</v>
      </c>
      <c r="D166" s="5">
        <v>0</v>
      </c>
    </row>
    <row r="167" spans="1:4">
      <c r="A167" s="20">
        <v>165</v>
      </c>
      <c r="B167" s="5">
        <v>10</v>
      </c>
      <c r="C167" s="5">
        <v>2</v>
      </c>
      <c r="D167" s="5">
        <v>0</v>
      </c>
    </row>
    <row r="168" spans="1:4">
      <c r="A168" s="20">
        <v>166</v>
      </c>
      <c r="B168" s="5">
        <v>10</v>
      </c>
      <c r="C168" s="5">
        <v>2</v>
      </c>
      <c r="D168" s="5">
        <v>0</v>
      </c>
    </row>
    <row r="169" spans="1:4">
      <c r="A169" s="20">
        <v>167</v>
      </c>
      <c r="B169" s="5">
        <v>10</v>
      </c>
      <c r="C169" s="5">
        <v>2</v>
      </c>
      <c r="D169" s="5">
        <v>0</v>
      </c>
    </row>
    <row r="170" spans="1:4">
      <c r="A170" s="20">
        <v>168</v>
      </c>
      <c r="B170" s="5">
        <v>10</v>
      </c>
      <c r="C170" s="5">
        <v>2</v>
      </c>
      <c r="D170" s="5">
        <v>0</v>
      </c>
    </row>
    <row r="171" spans="1:4">
      <c r="A171" s="20">
        <v>169</v>
      </c>
      <c r="B171" s="5">
        <v>10</v>
      </c>
      <c r="C171" s="5">
        <v>2</v>
      </c>
      <c r="D171" s="5">
        <v>0</v>
      </c>
    </row>
    <row r="172" spans="1:4">
      <c r="A172" s="20">
        <v>170</v>
      </c>
      <c r="B172" s="5">
        <v>10</v>
      </c>
      <c r="C172" s="5">
        <v>2</v>
      </c>
      <c r="D172" s="5">
        <v>0</v>
      </c>
    </row>
    <row r="173" spans="1:4">
      <c r="A173" s="20">
        <v>171</v>
      </c>
      <c r="B173" s="5">
        <v>10</v>
      </c>
      <c r="C173" s="5">
        <v>2</v>
      </c>
      <c r="D173" s="5">
        <v>0</v>
      </c>
    </row>
    <row r="174" spans="1:4">
      <c r="A174" s="20">
        <v>172</v>
      </c>
      <c r="B174" s="5">
        <v>10</v>
      </c>
      <c r="C174" s="5">
        <v>2</v>
      </c>
      <c r="D174" s="5">
        <v>0</v>
      </c>
    </row>
    <row r="175" spans="1:4">
      <c r="A175" s="20">
        <v>173</v>
      </c>
      <c r="B175" s="5">
        <v>10</v>
      </c>
      <c r="C175" s="5">
        <v>2</v>
      </c>
      <c r="D175" s="5">
        <v>0</v>
      </c>
    </row>
    <row r="176" spans="1:4">
      <c r="A176" s="20">
        <v>174</v>
      </c>
      <c r="B176" s="5">
        <v>10</v>
      </c>
      <c r="C176" s="5">
        <v>2</v>
      </c>
      <c r="D176" s="5">
        <v>0</v>
      </c>
    </row>
    <row r="177" spans="1:4">
      <c r="A177" s="20">
        <v>175</v>
      </c>
      <c r="B177" s="5">
        <v>10</v>
      </c>
      <c r="C177" s="5">
        <v>2</v>
      </c>
      <c r="D177" s="5">
        <v>0</v>
      </c>
    </row>
    <row r="178" spans="1:4">
      <c r="A178" s="20">
        <v>176</v>
      </c>
      <c r="B178" s="5">
        <v>10</v>
      </c>
      <c r="C178" s="5">
        <v>2</v>
      </c>
      <c r="D178" s="5">
        <v>0</v>
      </c>
    </row>
    <row r="179" spans="1:4">
      <c r="A179" s="20">
        <v>177</v>
      </c>
      <c r="B179" s="5">
        <v>10</v>
      </c>
      <c r="C179" s="5">
        <v>2</v>
      </c>
      <c r="D179" s="5">
        <v>0</v>
      </c>
    </row>
    <row r="180" spans="1:4">
      <c r="A180" s="20">
        <v>178</v>
      </c>
      <c r="B180" s="5">
        <v>10</v>
      </c>
      <c r="C180" s="5">
        <v>2</v>
      </c>
      <c r="D180" s="5">
        <v>0</v>
      </c>
    </row>
    <row r="181" spans="1:4">
      <c r="A181" s="20">
        <v>179</v>
      </c>
      <c r="B181" s="5">
        <v>10</v>
      </c>
      <c r="C181" s="5">
        <v>2</v>
      </c>
      <c r="D181" s="5">
        <v>0</v>
      </c>
    </row>
    <row r="182" spans="1:4">
      <c r="A182" s="20">
        <v>180</v>
      </c>
      <c r="B182" s="5">
        <v>10</v>
      </c>
      <c r="C182" s="5">
        <v>2</v>
      </c>
      <c r="D182" s="5">
        <v>0</v>
      </c>
    </row>
    <row r="183" spans="1:4">
      <c r="A183" s="20">
        <v>181</v>
      </c>
      <c r="B183" s="5">
        <v>10</v>
      </c>
      <c r="C183" s="5">
        <v>2</v>
      </c>
      <c r="D183" s="5">
        <v>0</v>
      </c>
    </row>
    <row r="184" spans="1:4">
      <c r="A184" s="20">
        <v>182</v>
      </c>
      <c r="B184" s="5">
        <v>10</v>
      </c>
      <c r="C184" s="5">
        <v>2</v>
      </c>
      <c r="D184" s="5">
        <v>0</v>
      </c>
    </row>
    <row r="185" spans="1:4">
      <c r="A185" s="20">
        <v>183</v>
      </c>
      <c r="B185" s="5">
        <v>10</v>
      </c>
      <c r="C185" s="5">
        <v>2</v>
      </c>
      <c r="D185" s="5">
        <v>0</v>
      </c>
    </row>
    <row r="186" spans="1:4">
      <c r="A186" s="20">
        <v>184</v>
      </c>
      <c r="B186" s="5">
        <v>10</v>
      </c>
      <c r="C186" s="5">
        <v>2</v>
      </c>
      <c r="D186" s="5">
        <v>0</v>
      </c>
    </row>
    <row r="187" spans="1:4">
      <c r="A187" s="20">
        <v>185</v>
      </c>
      <c r="B187" s="5">
        <v>10</v>
      </c>
      <c r="C187" s="5">
        <v>2</v>
      </c>
      <c r="D187" s="5">
        <v>0</v>
      </c>
    </row>
    <row r="188" spans="1:4">
      <c r="A188" s="20">
        <v>186</v>
      </c>
      <c r="B188" s="5">
        <v>10</v>
      </c>
      <c r="C188" s="5">
        <v>2</v>
      </c>
      <c r="D188" s="5">
        <v>0</v>
      </c>
    </row>
    <row r="189" spans="1:4">
      <c r="A189" s="20">
        <v>187</v>
      </c>
      <c r="B189" s="5">
        <v>10</v>
      </c>
      <c r="C189" s="5">
        <v>2</v>
      </c>
      <c r="D189" s="5">
        <v>0</v>
      </c>
    </row>
    <row r="190" spans="1:4">
      <c r="A190" s="20">
        <v>188</v>
      </c>
      <c r="B190" s="5">
        <v>10</v>
      </c>
      <c r="C190" s="5">
        <v>2</v>
      </c>
      <c r="D190" s="5">
        <v>0</v>
      </c>
    </row>
    <row r="191" spans="1:4">
      <c r="A191" s="20">
        <v>189</v>
      </c>
      <c r="B191" s="5">
        <v>10</v>
      </c>
      <c r="C191" s="5">
        <v>2</v>
      </c>
      <c r="D191" s="5">
        <v>0</v>
      </c>
    </row>
    <row r="192" spans="1:4">
      <c r="A192" s="20">
        <v>190</v>
      </c>
      <c r="B192" s="5">
        <v>10</v>
      </c>
      <c r="C192" s="5">
        <v>2</v>
      </c>
      <c r="D192" s="5">
        <v>0</v>
      </c>
    </row>
    <row r="193" spans="1:4">
      <c r="A193" s="20">
        <v>191</v>
      </c>
      <c r="B193" s="5">
        <v>10</v>
      </c>
      <c r="C193" s="5">
        <v>2</v>
      </c>
      <c r="D193" s="5">
        <v>0</v>
      </c>
    </row>
    <row r="194" spans="1:4">
      <c r="A194" s="20">
        <v>192</v>
      </c>
      <c r="B194" s="5">
        <v>10</v>
      </c>
      <c r="C194" s="5">
        <v>2</v>
      </c>
      <c r="D194" s="5">
        <v>0</v>
      </c>
    </row>
    <row r="195" spans="1:4">
      <c r="A195" s="20">
        <v>193</v>
      </c>
      <c r="B195" s="5">
        <v>10</v>
      </c>
      <c r="C195" s="5">
        <v>2</v>
      </c>
      <c r="D195" s="5">
        <v>0</v>
      </c>
    </row>
    <row r="196" spans="1:4">
      <c r="A196" s="20">
        <v>194</v>
      </c>
      <c r="B196" s="5">
        <v>10</v>
      </c>
      <c r="C196" s="5">
        <v>2</v>
      </c>
      <c r="D196" s="5">
        <v>0</v>
      </c>
    </row>
    <row r="197" spans="1:4">
      <c r="A197" s="20">
        <v>195</v>
      </c>
      <c r="B197" s="5">
        <v>10</v>
      </c>
      <c r="C197" s="5">
        <v>2</v>
      </c>
      <c r="D197" s="5">
        <v>0</v>
      </c>
    </row>
    <row r="198" spans="1:4">
      <c r="A198" s="20">
        <v>196</v>
      </c>
      <c r="B198" s="5">
        <v>10</v>
      </c>
      <c r="C198" s="5">
        <v>2</v>
      </c>
      <c r="D198" s="5">
        <v>0</v>
      </c>
    </row>
    <row r="199" spans="1:4">
      <c r="A199" s="20">
        <v>197</v>
      </c>
      <c r="B199" s="5">
        <v>10</v>
      </c>
      <c r="C199" s="5">
        <v>2</v>
      </c>
      <c r="D199" s="5">
        <v>0</v>
      </c>
    </row>
    <row r="200" spans="1:4">
      <c r="A200" s="20">
        <v>198</v>
      </c>
      <c r="B200" s="5">
        <v>10</v>
      </c>
      <c r="C200" s="5">
        <v>2</v>
      </c>
      <c r="D200" s="5">
        <v>0</v>
      </c>
    </row>
    <row r="201" spans="1:4">
      <c r="A201" s="20">
        <v>199</v>
      </c>
      <c r="B201" s="5">
        <v>10</v>
      </c>
      <c r="C201" s="5">
        <v>2</v>
      </c>
      <c r="D201" s="5">
        <v>0</v>
      </c>
    </row>
    <row r="202" spans="1:4">
      <c r="A202" s="20">
        <v>200</v>
      </c>
      <c r="B202" s="5">
        <v>10</v>
      </c>
      <c r="C202" s="5">
        <v>2</v>
      </c>
      <c r="D202" s="5">
        <v>0</v>
      </c>
    </row>
    <row r="203" spans="1:4">
      <c r="A203" s="20">
        <v>201</v>
      </c>
      <c r="B203" s="5">
        <v>10</v>
      </c>
      <c r="C203" s="5">
        <v>2</v>
      </c>
      <c r="D203" s="5">
        <v>0</v>
      </c>
    </row>
    <row r="204" spans="1:4">
      <c r="A204" s="20">
        <v>202</v>
      </c>
      <c r="B204" s="5">
        <v>10</v>
      </c>
      <c r="C204" s="5">
        <v>2</v>
      </c>
      <c r="D204" s="5">
        <v>0</v>
      </c>
    </row>
    <row r="205" spans="1:4">
      <c r="A205" s="20">
        <v>203</v>
      </c>
      <c r="B205" s="5">
        <v>10</v>
      </c>
      <c r="C205" s="5">
        <v>2</v>
      </c>
      <c r="D205" s="5">
        <v>0</v>
      </c>
    </row>
    <row r="206" spans="1:4">
      <c r="A206" s="20">
        <v>204</v>
      </c>
      <c r="B206" s="5">
        <v>10</v>
      </c>
      <c r="C206" s="5">
        <v>2</v>
      </c>
      <c r="D206" s="5">
        <v>0</v>
      </c>
    </row>
    <row r="207" spans="1:4">
      <c r="A207" s="20">
        <v>205</v>
      </c>
      <c r="B207" s="5">
        <v>10</v>
      </c>
      <c r="C207" s="5">
        <v>2</v>
      </c>
      <c r="D207" s="5">
        <v>0</v>
      </c>
    </row>
    <row r="208" spans="1:4">
      <c r="A208" s="20">
        <v>206</v>
      </c>
      <c r="B208" s="5">
        <v>10</v>
      </c>
      <c r="C208" s="5">
        <v>2</v>
      </c>
      <c r="D208" s="5">
        <v>0</v>
      </c>
    </row>
    <row r="209" spans="1:4">
      <c r="A209" s="20">
        <v>207</v>
      </c>
      <c r="B209" s="5">
        <v>10</v>
      </c>
      <c r="C209" s="5">
        <v>2</v>
      </c>
      <c r="D209" s="5">
        <v>0</v>
      </c>
    </row>
    <row r="210" spans="1:4">
      <c r="A210" s="20">
        <v>208</v>
      </c>
      <c r="B210" s="5">
        <v>10</v>
      </c>
      <c r="C210" s="5">
        <v>2</v>
      </c>
      <c r="D210" s="5">
        <v>0</v>
      </c>
    </row>
    <row r="211" spans="1:4">
      <c r="A211" s="20">
        <v>209</v>
      </c>
      <c r="B211" s="5">
        <v>10</v>
      </c>
      <c r="C211" s="5">
        <v>2</v>
      </c>
      <c r="D211" s="5">
        <v>0</v>
      </c>
    </row>
    <row r="212" spans="1:4">
      <c r="A212" s="20">
        <v>210</v>
      </c>
      <c r="B212" s="5">
        <v>10</v>
      </c>
      <c r="C212" s="5">
        <v>2</v>
      </c>
      <c r="D212" s="5">
        <v>0</v>
      </c>
    </row>
    <row r="213" spans="1:4">
      <c r="A213" s="20">
        <v>211</v>
      </c>
      <c r="B213" s="5">
        <v>10</v>
      </c>
      <c r="C213" s="5">
        <v>2</v>
      </c>
      <c r="D213" s="5">
        <v>0</v>
      </c>
    </row>
    <row r="214" spans="1:4">
      <c r="A214" s="20">
        <v>212</v>
      </c>
      <c r="B214" s="5">
        <v>10</v>
      </c>
      <c r="C214" s="5">
        <v>2</v>
      </c>
      <c r="D214" s="5">
        <v>0</v>
      </c>
    </row>
    <row r="215" spans="1:4">
      <c r="A215" s="20">
        <v>213</v>
      </c>
      <c r="B215" s="5">
        <v>10</v>
      </c>
      <c r="C215" s="5">
        <v>2</v>
      </c>
      <c r="D215" s="5">
        <v>0</v>
      </c>
    </row>
    <row r="216" spans="1:4">
      <c r="A216" s="20">
        <v>214</v>
      </c>
      <c r="B216" s="5">
        <v>10</v>
      </c>
      <c r="C216" s="5">
        <v>2</v>
      </c>
      <c r="D216" s="5">
        <v>0</v>
      </c>
    </row>
    <row r="217" spans="1:4">
      <c r="A217" s="20">
        <v>215</v>
      </c>
      <c r="B217" s="5">
        <v>10</v>
      </c>
      <c r="C217" s="5">
        <v>2</v>
      </c>
      <c r="D217" s="5">
        <v>0</v>
      </c>
    </row>
    <row r="218" spans="1:4">
      <c r="A218" s="20">
        <v>216</v>
      </c>
      <c r="B218" s="5">
        <v>10</v>
      </c>
      <c r="C218" s="5">
        <v>2</v>
      </c>
      <c r="D218" s="5">
        <v>0</v>
      </c>
    </row>
    <row r="219" spans="1:4">
      <c r="A219" s="20">
        <v>217</v>
      </c>
      <c r="B219" s="5">
        <v>10</v>
      </c>
      <c r="C219" s="5">
        <v>2</v>
      </c>
      <c r="D219" s="5">
        <v>0</v>
      </c>
    </row>
    <row r="220" spans="1:4">
      <c r="A220" s="20">
        <v>218</v>
      </c>
      <c r="B220" s="5">
        <v>10</v>
      </c>
      <c r="C220" s="5">
        <v>2</v>
      </c>
      <c r="D220" s="5">
        <v>0</v>
      </c>
    </row>
    <row r="221" spans="1:4">
      <c r="A221" s="20">
        <v>219</v>
      </c>
      <c r="B221" s="5">
        <v>10</v>
      </c>
      <c r="C221" s="5">
        <v>2</v>
      </c>
      <c r="D221" s="5">
        <v>0</v>
      </c>
    </row>
    <row r="222" spans="1:4">
      <c r="A222" s="20">
        <v>220</v>
      </c>
      <c r="B222" s="5">
        <v>10</v>
      </c>
      <c r="C222" s="5">
        <v>2</v>
      </c>
      <c r="D222" s="5">
        <v>0</v>
      </c>
    </row>
    <row r="223" spans="1:4">
      <c r="A223" s="20">
        <v>221</v>
      </c>
      <c r="B223" s="5">
        <v>10</v>
      </c>
      <c r="C223" s="5">
        <v>2</v>
      </c>
      <c r="D223" s="5">
        <v>0</v>
      </c>
    </row>
    <row r="224" spans="1:4">
      <c r="A224" s="20">
        <v>222</v>
      </c>
      <c r="B224" s="5">
        <v>10</v>
      </c>
      <c r="C224" s="5">
        <v>2</v>
      </c>
      <c r="D224" s="5">
        <v>0</v>
      </c>
    </row>
    <row r="225" spans="1:4">
      <c r="A225" s="20">
        <v>223</v>
      </c>
      <c r="B225" s="5">
        <v>10</v>
      </c>
      <c r="C225" s="5">
        <v>2</v>
      </c>
      <c r="D225" s="5">
        <v>0</v>
      </c>
    </row>
    <row r="226" spans="1:4">
      <c r="A226" s="20">
        <v>224</v>
      </c>
      <c r="B226" s="5">
        <v>10</v>
      </c>
      <c r="C226" s="5">
        <v>2</v>
      </c>
      <c r="D226" s="5">
        <v>0</v>
      </c>
    </row>
    <row r="227" spans="1:4">
      <c r="A227" s="20">
        <v>225</v>
      </c>
      <c r="B227" s="5">
        <v>10</v>
      </c>
      <c r="C227" s="5">
        <v>2</v>
      </c>
      <c r="D227" s="5">
        <v>0</v>
      </c>
    </row>
    <row r="228" spans="1:4">
      <c r="A228" s="20">
        <v>226</v>
      </c>
      <c r="B228" s="5">
        <v>10</v>
      </c>
      <c r="C228" s="5">
        <v>2</v>
      </c>
      <c r="D228" s="5">
        <v>0</v>
      </c>
    </row>
    <row r="229" spans="1:4">
      <c r="A229" s="20">
        <v>227</v>
      </c>
      <c r="B229" s="5">
        <v>10</v>
      </c>
      <c r="C229" s="5">
        <v>2</v>
      </c>
      <c r="D229" s="5">
        <v>0</v>
      </c>
    </row>
    <row r="230" spans="1:4">
      <c r="A230" s="20">
        <v>228</v>
      </c>
      <c r="B230" s="5">
        <v>10</v>
      </c>
      <c r="C230" s="5">
        <v>2</v>
      </c>
      <c r="D230" s="5">
        <v>0</v>
      </c>
    </row>
    <row r="231" spans="1:4">
      <c r="A231" s="20">
        <v>229</v>
      </c>
      <c r="B231" s="5">
        <v>10</v>
      </c>
      <c r="C231" s="5">
        <v>2</v>
      </c>
      <c r="D231" s="5">
        <v>0</v>
      </c>
    </row>
    <row r="232" spans="1:4">
      <c r="A232" s="20">
        <v>230</v>
      </c>
      <c r="B232" s="5">
        <v>10</v>
      </c>
      <c r="C232" s="5">
        <v>2</v>
      </c>
      <c r="D232" s="5">
        <v>0</v>
      </c>
    </row>
    <row r="233" spans="1:4">
      <c r="A233" s="20">
        <v>231</v>
      </c>
      <c r="B233" s="5">
        <v>10</v>
      </c>
      <c r="C233" s="5">
        <v>2</v>
      </c>
      <c r="D233" s="5">
        <v>0</v>
      </c>
    </row>
    <row r="234" spans="1:4">
      <c r="A234" s="20">
        <v>232</v>
      </c>
      <c r="B234" s="5">
        <v>10</v>
      </c>
      <c r="C234" s="5">
        <v>2</v>
      </c>
      <c r="D234" s="5">
        <v>0</v>
      </c>
    </row>
    <row r="235" spans="1:4">
      <c r="A235" s="20">
        <v>233</v>
      </c>
      <c r="B235" s="5">
        <v>10</v>
      </c>
      <c r="C235" s="5">
        <v>2</v>
      </c>
      <c r="D235" s="5">
        <v>0</v>
      </c>
    </row>
    <row r="236" spans="1:4">
      <c r="A236" s="20">
        <v>234</v>
      </c>
      <c r="B236" s="5">
        <v>10</v>
      </c>
      <c r="C236" s="5">
        <v>2</v>
      </c>
      <c r="D236" s="5">
        <v>0</v>
      </c>
    </row>
    <row r="237" spans="1:4">
      <c r="A237" s="20">
        <v>235</v>
      </c>
      <c r="B237" s="5">
        <v>10</v>
      </c>
      <c r="C237" s="5">
        <v>2</v>
      </c>
      <c r="D237" s="5">
        <v>0</v>
      </c>
    </row>
    <row r="238" spans="1:4">
      <c r="A238" s="20">
        <v>236</v>
      </c>
      <c r="B238" s="5">
        <v>10</v>
      </c>
      <c r="C238" s="5">
        <v>2</v>
      </c>
      <c r="D238" s="5">
        <v>0</v>
      </c>
    </row>
    <row r="239" spans="1:4">
      <c r="A239" s="20">
        <v>237</v>
      </c>
      <c r="B239" s="5">
        <v>10</v>
      </c>
      <c r="C239" s="5">
        <v>2</v>
      </c>
      <c r="D239" s="5">
        <v>0</v>
      </c>
    </row>
    <row r="240" spans="1:4">
      <c r="A240" s="20">
        <v>238</v>
      </c>
      <c r="B240" s="5">
        <v>10</v>
      </c>
      <c r="C240" s="5">
        <v>2</v>
      </c>
      <c r="D240" s="5">
        <v>0</v>
      </c>
    </row>
    <row r="241" spans="1:4">
      <c r="A241" s="20">
        <v>239</v>
      </c>
      <c r="B241" s="5">
        <v>10</v>
      </c>
      <c r="C241" s="5">
        <v>2</v>
      </c>
      <c r="D241" s="5">
        <v>0</v>
      </c>
    </row>
    <row r="242" spans="1:4">
      <c r="A242" s="20">
        <v>240</v>
      </c>
      <c r="B242" s="5">
        <v>10</v>
      </c>
      <c r="C242" s="5">
        <v>2</v>
      </c>
      <c r="D242" s="5">
        <v>0</v>
      </c>
    </row>
    <row r="243" spans="1:4">
      <c r="A243" s="20">
        <v>241</v>
      </c>
      <c r="B243" s="5">
        <v>10</v>
      </c>
      <c r="C243" s="5">
        <v>2</v>
      </c>
      <c r="D243" s="5">
        <v>0</v>
      </c>
    </row>
    <row r="244" spans="1:4">
      <c r="A244" s="20">
        <v>242</v>
      </c>
      <c r="B244" s="5">
        <v>10</v>
      </c>
      <c r="C244" s="5">
        <v>2</v>
      </c>
      <c r="D244" s="5">
        <v>0</v>
      </c>
    </row>
    <row r="245" spans="1:4">
      <c r="A245" s="20">
        <v>243</v>
      </c>
      <c r="B245" s="5">
        <v>10</v>
      </c>
      <c r="C245" s="5">
        <v>2</v>
      </c>
      <c r="D245" s="5">
        <v>0</v>
      </c>
    </row>
    <row r="246" spans="1:4">
      <c r="A246" s="20">
        <v>244</v>
      </c>
      <c r="B246" s="5">
        <v>10</v>
      </c>
      <c r="C246" s="5">
        <v>2</v>
      </c>
      <c r="D246" s="5">
        <v>0</v>
      </c>
    </row>
    <row r="247" spans="1:4">
      <c r="A247" s="20">
        <v>245</v>
      </c>
      <c r="B247" s="5">
        <v>10</v>
      </c>
      <c r="C247" s="5">
        <v>2</v>
      </c>
      <c r="D247" s="5">
        <v>0</v>
      </c>
    </row>
    <row r="248" spans="1:4">
      <c r="A248" s="20">
        <v>246</v>
      </c>
      <c r="B248" s="5">
        <v>10</v>
      </c>
      <c r="C248" s="5">
        <v>2</v>
      </c>
      <c r="D248" s="5">
        <v>0</v>
      </c>
    </row>
    <row r="249" spans="1:4">
      <c r="A249" s="20">
        <v>247</v>
      </c>
      <c r="B249" s="5">
        <v>10</v>
      </c>
      <c r="C249" s="5">
        <v>2</v>
      </c>
      <c r="D249" s="5">
        <v>0</v>
      </c>
    </row>
    <row r="250" spans="1:4">
      <c r="A250" s="20">
        <v>248</v>
      </c>
      <c r="B250" s="5">
        <v>10</v>
      </c>
      <c r="C250" s="5">
        <v>2</v>
      </c>
      <c r="D250" s="5">
        <v>0</v>
      </c>
    </row>
    <row r="251" spans="1:4">
      <c r="A251" s="20">
        <v>249</v>
      </c>
      <c r="B251" s="5">
        <v>10</v>
      </c>
      <c r="C251" s="5">
        <v>2</v>
      </c>
      <c r="D251" s="5">
        <v>0</v>
      </c>
    </row>
    <row r="252" spans="1:4">
      <c r="A252" s="20">
        <v>250</v>
      </c>
      <c r="B252" s="5">
        <v>10</v>
      </c>
      <c r="C252" s="5">
        <v>2</v>
      </c>
      <c r="D252" s="5">
        <v>0</v>
      </c>
    </row>
    <row r="253" spans="1:4">
      <c r="A253" s="20">
        <v>251</v>
      </c>
      <c r="B253" s="5">
        <v>10</v>
      </c>
      <c r="C253" s="5">
        <v>2</v>
      </c>
      <c r="D253" s="5">
        <v>0</v>
      </c>
    </row>
    <row r="254" spans="1:4">
      <c r="A254" s="20">
        <v>252</v>
      </c>
      <c r="B254" s="5">
        <v>10</v>
      </c>
      <c r="C254" s="5">
        <v>2</v>
      </c>
      <c r="D254" s="5">
        <v>0</v>
      </c>
    </row>
    <row r="255" spans="1:4">
      <c r="A255" s="20">
        <v>253</v>
      </c>
      <c r="B255" s="5">
        <v>10</v>
      </c>
      <c r="C255" s="5">
        <v>2</v>
      </c>
      <c r="D255" s="5">
        <v>0</v>
      </c>
    </row>
    <row r="256" spans="1:4">
      <c r="A256" s="20">
        <v>254</v>
      </c>
      <c r="B256" s="5">
        <v>10</v>
      </c>
      <c r="C256" s="5">
        <v>2</v>
      </c>
      <c r="D256" s="5">
        <v>0</v>
      </c>
    </row>
    <row r="257" spans="1:4">
      <c r="A257" s="20">
        <v>255</v>
      </c>
      <c r="B257" s="5">
        <v>10</v>
      </c>
      <c r="C257" s="5">
        <v>2</v>
      </c>
      <c r="D257" s="5">
        <v>0</v>
      </c>
    </row>
    <row r="258" spans="1:4">
      <c r="A258" s="20">
        <v>256</v>
      </c>
      <c r="B258" s="5">
        <v>10</v>
      </c>
      <c r="C258" s="5">
        <v>2</v>
      </c>
      <c r="D258" s="5">
        <v>0</v>
      </c>
    </row>
    <row r="259" spans="1:4">
      <c r="A259" s="20">
        <v>257</v>
      </c>
      <c r="B259" s="5">
        <v>10</v>
      </c>
      <c r="C259" s="5">
        <v>2</v>
      </c>
      <c r="D259" s="5">
        <v>0</v>
      </c>
    </row>
    <row r="260" spans="1:4">
      <c r="A260" s="20">
        <v>258</v>
      </c>
      <c r="B260" s="5">
        <v>10</v>
      </c>
      <c r="C260" s="5">
        <v>2</v>
      </c>
      <c r="D260" s="5">
        <v>0</v>
      </c>
    </row>
    <row r="261" spans="1:4">
      <c r="A261" s="20">
        <v>259</v>
      </c>
      <c r="B261" s="5">
        <v>10</v>
      </c>
      <c r="C261" s="5">
        <v>2</v>
      </c>
      <c r="D261" s="5">
        <v>0</v>
      </c>
    </row>
    <row r="262" spans="1:4">
      <c r="A262" s="20">
        <v>260</v>
      </c>
      <c r="B262" s="5">
        <v>10</v>
      </c>
      <c r="C262" s="5">
        <v>2</v>
      </c>
      <c r="D262" s="5">
        <v>0</v>
      </c>
    </row>
    <row r="263" spans="1:4">
      <c r="A263" s="20">
        <v>261</v>
      </c>
      <c r="B263" s="5">
        <v>10</v>
      </c>
      <c r="C263" s="5">
        <v>2</v>
      </c>
      <c r="D263" s="5">
        <v>0</v>
      </c>
    </row>
    <row r="264" spans="1:4">
      <c r="A264" s="20">
        <v>262</v>
      </c>
      <c r="B264" s="5">
        <v>10</v>
      </c>
      <c r="C264" s="5">
        <v>2</v>
      </c>
      <c r="D264" s="5">
        <v>0</v>
      </c>
    </row>
    <row r="265" spans="1:4">
      <c r="A265" s="20">
        <v>263</v>
      </c>
      <c r="B265" s="5">
        <v>10</v>
      </c>
      <c r="C265" s="5">
        <v>2</v>
      </c>
      <c r="D265" s="5">
        <v>0</v>
      </c>
    </row>
    <row r="266" spans="1:4">
      <c r="A266" s="20">
        <v>264</v>
      </c>
      <c r="B266" s="5">
        <v>10</v>
      </c>
      <c r="C266" s="5">
        <v>2</v>
      </c>
      <c r="D266" s="5">
        <v>0</v>
      </c>
    </row>
    <row r="267" spans="1:4">
      <c r="A267" s="20">
        <v>265</v>
      </c>
      <c r="B267" s="5">
        <v>10</v>
      </c>
      <c r="C267" s="5">
        <v>2</v>
      </c>
      <c r="D267" s="5">
        <v>0</v>
      </c>
    </row>
    <row r="268" spans="1:4">
      <c r="A268" s="20">
        <v>266</v>
      </c>
      <c r="B268" s="5">
        <v>10</v>
      </c>
      <c r="C268" s="5">
        <v>2</v>
      </c>
      <c r="D268" s="5">
        <v>0</v>
      </c>
    </row>
    <row r="269" spans="1:4">
      <c r="A269" s="20">
        <v>267</v>
      </c>
      <c r="B269" s="5">
        <v>10</v>
      </c>
      <c r="C269" s="5">
        <v>2</v>
      </c>
      <c r="D269" s="5">
        <v>0</v>
      </c>
    </row>
    <row r="270" spans="1:4">
      <c r="A270" s="20">
        <v>268</v>
      </c>
      <c r="B270" s="5">
        <v>10</v>
      </c>
      <c r="C270" s="5">
        <v>2</v>
      </c>
      <c r="D270" s="5">
        <v>0</v>
      </c>
    </row>
    <row r="271" spans="1:4">
      <c r="A271" s="20">
        <v>269</v>
      </c>
      <c r="B271" s="5">
        <v>10</v>
      </c>
      <c r="C271" s="5">
        <v>2</v>
      </c>
      <c r="D271" s="5">
        <v>0</v>
      </c>
    </row>
    <row r="272" spans="1:4">
      <c r="A272" s="20">
        <v>270</v>
      </c>
      <c r="B272" s="5">
        <v>10</v>
      </c>
      <c r="C272" s="5">
        <v>2</v>
      </c>
      <c r="D272" s="5">
        <v>0</v>
      </c>
    </row>
    <row r="273" spans="1:4">
      <c r="A273" s="20">
        <v>271</v>
      </c>
      <c r="B273" s="5">
        <v>10</v>
      </c>
      <c r="C273" s="5">
        <v>2</v>
      </c>
      <c r="D273" s="5">
        <v>0</v>
      </c>
    </row>
    <row r="274" spans="1:4">
      <c r="A274" s="20">
        <v>272</v>
      </c>
      <c r="B274" s="5">
        <v>10</v>
      </c>
      <c r="C274" s="5">
        <v>2</v>
      </c>
      <c r="D274" s="5">
        <v>0</v>
      </c>
    </row>
    <row r="275" spans="1:4">
      <c r="A275" s="20">
        <v>273</v>
      </c>
      <c r="B275" s="5">
        <v>10</v>
      </c>
      <c r="C275" s="5">
        <v>2</v>
      </c>
      <c r="D275" s="5">
        <v>0</v>
      </c>
    </row>
    <row r="276" spans="1:4">
      <c r="A276" s="20">
        <v>274</v>
      </c>
      <c r="B276" s="5">
        <v>10</v>
      </c>
      <c r="C276" s="5">
        <v>2</v>
      </c>
      <c r="D276" s="5">
        <v>0</v>
      </c>
    </row>
    <row r="277" spans="1:4">
      <c r="A277" s="20">
        <v>275</v>
      </c>
      <c r="B277" s="5">
        <v>10</v>
      </c>
      <c r="C277" s="5">
        <v>2</v>
      </c>
      <c r="D277" s="5">
        <v>0</v>
      </c>
    </row>
    <row r="278" spans="1:4">
      <c r="A278" s="20">
        <v>276</v>
      </c>
      <c r="B278" s="5">
        <v>10</v>
      </c>
      <c r="C278" s="5">
        <v>2</v>
      </c>
      <c r="D278" s="5">
        <v>0</v>
      </c>
    </row>
    <row r="279" spans="1:4">
      <c r="A279" s="20">
        <v>277</v>
      </c>
      <c r="B279" s="5">
        <v>10</v>
      </c>
      <c r="C279" s="5">
        <v>2</v>
      </c>
      <c r="D279" s="5">
        <v>0</v>
      </c>
    </row>
    <row r="280" spans="1:4">
      <c r="A280" s="20">
        <v>278</v>
      </c>
      <c r="B280" s="5">
        <v>10</v>
      </c>
      <c r="C280" s="5">
        <v>2</v>
      </c>
      <c r="D280" s="5">
        <v>0</v>
      </c>
    </row>
    <row r="281" spans="1:4">
      <c r="A281" s="20">
        <v>279</v>
      </c>
      <c r="B281" s="5">
        <v>10</v>
      </c>
      <c r="C281" s="5">
        <v>2</v>
      </c>
      <c r="D281" s="5">
        <v>0</v>
      </c>
    </row>
    <row r="282" spans="1:4">
      <c r="A282" s="20">
        <v>280</v>
      </c>
      <c r="B282" s="5">
        <v>10</v>
      </c>
      <c r="C282" s="5">
        <v>2</v>
      </c>
      <c r="D282" s="5">
        <v>0</v>
      </c>
    </row>
    <row r="283" spans="1:4">
      <c r="A283" s="20">
        <v>281</v>
      </c>
      <c r="B283" s="5">
        <v>10</v>
      </c>
      <c r="C283" s="5">
        <v>2</v>
      </c>
      <c r="D283" s="5">
        <v>0</v>
      </c>
    </row>
    <row r="284" spans="1:4">
      <c r="A284" s="20">
        <v>282</v>
      </c>
      <c r="B284" s="5">
        <v>10</v>
      </c>
      <c r="C284" s="5">
        <v>2</v>
      </c>
      <c r="D284" s="5">
        <v>0</v>
      </c>
    </row>
    <row r="285" spans="1:4">
      <c r="A285" s="20">
        <v>283</v>
      </c>
      <c r="B285" s="5">
        <v>10</v>
      </c>
      <c r="C285" s="5">
        <v>2</v>
      </c>
      <c r="D285" s="5">
        <v>0</v>
      </c>
    </row>
    <row r="286" spans="1:4">
      <c r="A286" s="20">
        <v>284</v>
      </c>
      <c r="B286" s="5">
        <v>10</v>
      </c>
      <c r="C286" s="5">
        <v>2</v>
      </c>
      <c r="D286" s="5">
        <v>0</v>
      </c>
    </row>
    <row r="287" spans="1:4">
      <c r="A287" s="20">
        <v>285</v>
      </c>
      <c r="B287" s="5">
        <v>10</v>
      </c>
      <c r="C287" s="5">
        <v>2</v>
      </c>
      <c r="D287" s="5">
        <v>0</v>
      </c>
    </row>
    <row r="288" spans="1:4">
      <c r="A288" s="20">
        <v>286</v>
      </c>
      <c r="B288" s="5">
        <v>10</v>
      </c>
      <c r="C288" s="5">
        <v>2</v>
      </c>
      <c r="D288" s="5">
        <v>0</v>
      </c>
    </row>
    <row r="289" spans="1:4">
      <c r="A289" s="20">
        <v>287</v>
      </c>
      <c r="B289" s="5">
        <v>10</v>
      </c>
      <c r="C289" s="5">
        <v>2</v>
      </c>
      <c r="D289" s="5">
        <v>0</v>
      </c>
    </row>
    <row r="290" spans="1:4">
      <c r="A290" s="20">
        <v>288</v>
      </c>
      <c r="B290" s="5">
        <v>10</v>
      </c>
      <c r="C290" s="5">
        <v>2</v>
      </c>
      <c r="D290" s="5">
        <v>0</v>
      </c>
    </row>
    <row r="291" spans="1:4">
      <c r="A291" s="20">
        <v>289</v>
      </c>
      <c r="B291" s="5">
        <v>10</v>
      </c>
      <c r="C291" s="5">
        <v>2</v>
      </c>
      <c r="D291" s="5">
        <v>0</v>
      </c>
    </row>
    <row r="292" spans="1:4">
      <c r="A292" s="20">
        <v>290</v>
      </c>
      <c r="B292" s="5">
        <v>10</v>
      </c>
      <c r="C292" s="5">
        <v>2</v>
      </c>
      <c r="D292" s="5">
        <v>0</v>
      </c>
    </row>
    <row r="293" spans="1:4">
      <c r="A293" s="20">
        <v>291</v>
      </c>
      <c r="B293" s="5">
        <v>10</v>
      </c>
      <c r="C293" s="5">
        <v>2</v>
      </c>
      <c r="D293" s="5">
        <v>0</v>
      </c>
    </row>
    <row r="294" spans="1:4">
      <c r="A294" s="20">
        <v>292</v>
      </c>
      <c r="B294" s="5">
        <v>10</v>
      </c>
      <c r="C294" s="5">
        <v>2</v>
      </c>
      <c r="D294" s="5">
        <v>0</v>
      </c>
    </row>
    <row r="295" spans="1:4">
      <c r="A295" s="20">
        <v>293</v>
      </c>
      <c r="B295" s="5">
        <v>10</v>
      </c>
      <c r="C295" s="5">
        <v>2</v>
      </c>
      <c r="D295" s="5">
        <v>0</v>
      </c>
    </row>
    <row r="296" spans="1:4">
      <c r="A296" s="20">
        <v>294</v>
      </c>
      <c r="B296" s="5">
        <v>10</v>
      </c>
      <c r="C296" s="5">
        <v>2</v>
      </c>
      <c r="D296" s="5">
        <v>0</v>
      </c>
    </row>
    <row r="297" spans="1:4">
      <c r="A297" s="20">
        <v>295</v>
      </c>
      <c r="B297" s="5">
        <v>10</v>
      </c>
      <c r="C297" s="5">
        <v>2</v>
      </c>
      <c r="D297" s="5">
        <v>0</v>
      </c>
    </row>
    <row r="298" spans="1:4">
      <c r="A298" s="20">
        <v>296</v>
      </c>
      <c r="B298" s="5">
        <v>10</v>
      </c>
      <c r="C298" s="5">
        <v>2</v>
      </c>
      <c r="D298" s="5">
        <v>0</v>
      </c>
    </row>
    <row r="299" spans="1:4">
      <c r="A299" s="20">
        <v>297</v>
      </c>
      <c r="B299" s="5">
        <v>10</v>
      </c>
      <c r="C299" s="5">
        <v>2</v>
      </c>
      <c r="D299" s="5">
        <v>0</v>
      </c>
    </row>
    <row r="300" spans="1:4">
      <c r="A300" s="20">
        <v>298</v>
      </c>
      <c r="B300" s="5">
        <v>10</v>
      </c>
      <c r="C300" s="5">
        <v>2</v>
      </c>
      <c r="D300" s="5">
        <v>0</v>
      </c>
    </row>
    <row r="301" spans="1:4">
      <c r="A301" s="20">
        <v>299</v>
      </c>
      <c r="B301" s="5">
        <v>10</v>
      </c>
      <c r="C301" s="5">
        <v>2</v>
      </c>
      <c r="D301" s="5">
        <v>0</v>
      </c>
    </row>
    <row r="302" spans="1:4">
      <c r="A302" s="20">
        <v>300</v>
      </c>
      <c r="B302" s="5">
        <v>10</v>
      </c>
      <c r="C302" s="5">
        <v>2</v>
      </c>
      <c r="D302" s="5">
        <v>0</v>
      </c>
    </row>
    <row r="303" spans="1:4">
      <c r="A303" s="20">
        <v>301</v>
      </c>
      <c r="B303" s="34">
        <f>(A303-$A$302)/60+$B$302</f>
        <v>10.016666666666667</v>
      </c>
      <c r="C303" s="5">
        <v>2</v>
      </c>
      <c r="D303" s="5">
        <v>0</v>
      </c>
    </row>
    <row r="304" spans="1:4">
      <c r="A304" s="20">
        <v>302</v>
      </c>
      <c r="B304" s="34">
        <f t="shared" ref="B304:B361" si="0">(A304-$A$302)/60+$B$302</f>
        <v>10.033333333333333</v>
      </c>
      <c r="C304" s="5">
        <v>2</v>
      </c>
      <c r="D304" s="5">
        <v>0</v>
      </c>
    </row>
    <row r="305" spans="1:4">
      <c r="A305" s="20">
        <v>303</v>
      </c>
      <c r="B305" s="34">
        <f t="shared" si="0"/>
        <v>10.050000000000001</v>
      </c>
      <c r="C305" s="5">
        <v>2</v>
      </c>
      <c r="D305" s="5">
        <v>0</v>
      </c>
    </row>
    <row r="306" spans="1:4">
      <c r="A306" s="20">
        <v>304</v>
      </c>
      <c r="B306" s="34">
        <f t="shared" si="0"/>
        <v>10.066666666666666</v>
      </c>
      <c r="C306" s="5">
        <v>2</v>
      </c>
      <c r="D306" s="5">
        <v>0</v>
      </c>
    </row>
    <row r="307" spans="1:4">
      <c r="A307" s="20">
        <v>305</v>
      </c>
      <c r="B307" s="34">
        <f t="shared" si="0"/>
        <v>10.083333333333334</v>
      </c>
      <c r="C307" s="5">
        <v>2</v>
      </c>
      <c r="D307" s="5">
        <v>0</v>
      </c>
    </row>
    <row r="308" spans="1:4">
      <c r="A308" s="20">
        <v>306</v>
      </c>
      <c r="B308" s="34">
        <f t="shared" si="0"/>
        <v>10.1</v>
      </c>
      <c r="C308" s="5">
        <v>2</v>
      </c>
      <c r="D308" s="5">
        <v>0</v>
      </c>
    </row>
    <row r="309" spans="1:4">
      <c r="A309" s="20">
        <v>307</v>
      </c>
      <c r="B309" s="34">
        <f t="shared" si="0"/>
        <v>10.116666666666667</v>
      </c>
      <c r="C309" s="5">
        <v>2</v>
      </c>
      <c r="D309" s="5">
        <v>0</v>
      </c>
    </row>
    <row r="310" spans="1:4">
      <c r="A310" s="20">
        <v>308</v>
      </c>
      <c r="B310" s="34">
        <f t="shared" si="0"/>
        <v>10.133333333333333</v>
      </c>
      <c r="C310" s="5">
        <v>2</v>
      </c>
      <c r="D310" s="5">
        <v>0</v>
      </c>
    </row>
    <row r="311" spans="1:4">
      <c r="A311" s="20">
        <v>309</v>
      </c>
      <c r="B311" s="34">
        <f t="shared" si="0"/>
        <v>10.15</v>
      </c>
      <c r="C311" s="5">
        <v>2</v>
      </c>
      <c r="D311" s="5">
        <v>0</v>
      </c>
    </row>
    <row r="312" spans="1:4">
      <c r="A312" s="20">
        <v>310</v>
      </c>
      <c r="B312" s="34">
        <f t="shared" si="0"/>
        <v>10.166666666666666</v>
      </c>
      <c r="C312" s="5">
        <v>2</v>
      </c>
      <c r="D312" s="5">
        <v>0</v>
      </c>
    </row>
    <row r="313" spans="1:4">
      <c r="A313" s="20">
        <v>311</v>
      </c>
      <c r="B313" s="34">
        <f t="shared" si="0"/>
        <v>10.183333333333334</v>
      </c>
      <c r="C313" s="5">
        <v>2</v>
      </c>
      <c r="D313" s="5">
        <v>0</v>
      </c>
    </row>
    <row r="314" spans="1:4">
      <c r="A314" s="20">
        <v>312</v>
      </c>
      <c r="B314" s="34">
        <f t="shared" si="0"/>
        <v>10.199999999999999</v>
      </c>
      <c r="C314" s="5">
        <v>2</v>
      </c>
      <c r="D314" s="5">
        <v>0</v>
      </c>
    </row>
    <row r="315" spans="1:4">
      <c r="A315" s="20">
        <v>313</v>
      </c>
      <c r="B315" s="34">
        <f t="shared" si="0"/>
        <v>10.216666666666667</v>
      </c>
      <c r="C315" s="5">
        <v>2</v>
      </c>
      <c r="D315" s="5">
        <v>0</v>
      </c>
    </row>
    <row r="316" spans="1:4">
      <c r="A316" s="20">
        <v>314</v>
      </c>
      <c r="B316" s="34">
        <f t="shared" si="0"/>
        <v>10.233333333333333</v>
      </c>
      <c r="C316" s="5">
        <v>2</v>
      </c>
      <c r="D316" s="5">
        <v>0</v>
      </c>
    </row>
    <row r="317" spans="1:4">
      <c r="A317" s="20">
        <v>315</v>
      </c>
      <c r="B317" s="34">
        <f t="shared" si="0"/>
        <v>10.25</v>
      </c>
      <c r="C317" s="5">
        <v>2</v>
      </c>
      <c r="D317" s="5">
        <v>0</v>
      </c>
    </row>
    <row r="318" spans="1:4">
      <c r="A318" s="20">
        <v>316</v>
      </c>
      <c r="B318" s="34">
        <f t="shared" si="0"/>
        <v>10.266666666666667</v>
      </c>
      <c r="C318" s="5">
        <v>2</v>
      </c>
      <c r="D318" s="5">
        <v>0</v>
      </c>
    </row>
    <row r="319" spans="1:4">
      <c r="A319" s="20">
        <v>317</v>
      </c>
      <c r="B319" s="34">
        <f t="shared" si="0"/>
        <v>10.283333333333333</v>
      </c>
      <c r="C319" s="5">
        <v>2</v>
      </c>
      <c r="D319" s="5">
        <v>0</v>
      </c>
    </row>
    <row r="320" spans="1:4">
      <c r="A320" s="20">
        <v>318</v>
      </c>
      <c r="B320" s="34">
        <f t="shared" si="0"/>
        <v>10.3</v>
      </c>
      <c r="C320" s="5">
        <v>2</v>
      </c>
      <c r="D320" s="5">
        <v>0</v>
      </c>
    </row>
    <row r="321" spans="1:4">
      <c r="A321" s="20">
        <v>319</v>
      </c>
      <c r="B321" s="34">
        <f t="shared" si="0"/>
        <v>10.316666666666666</v>
      </c>
      <c r="C321" s="5">
        <v>2</v>
      </c>
      <c r="D321" s="5">
        <v>0</v>
      </c>
    </row>
    <row r="322" spans="1:4">
      <c r="A322" s="20">
        <v>320</v>
      </c>
      <c r="B322" s="34">
        <f t="shared" si="0"/>
        <v>10.333333333333334</v>
      </c>
      <c r="C322" s="5">
        <v>2</v>
      </c>
      <c r="D322" s="5">
        <v>0</v>
      </c>
    </row>
    <row r="323" spans="1:4">
      <c r="A323" s="20">
        <v>321</v>
      </c>
      <c r="B323" s="34">
        <f t="shared" si="0"/>
        <v>10.35</v>
      </c>
      <c r="C323" s="5">
        <v>2</v>
      </c>
      <c r="D323" s="5">
        <v>0</v>
      </c>
    </row>
    <row r="324" spans="1:4">
      <c r="A324" s="20">
        <v>322</v>
      </c>
      <c r="B324" s="34">
        <f t="shared" si="0"/>
        <v>10.366666666666667</v>
      </c>
      <c r="C324" s="5">
        <v>2</v>
      </c>
      <c r="D324" s="5">
        <v>0</v>
      </c>
    </row>
    <row r="325" spans="1:4">
      <c r="A325" s="20">
        <v>323</v>
      </c>
      <c r="B325" s="34">
        <f t="shared" si="0"/>
        <v>10.383333333333333</v>
      </c>
      <c r="C325" s="5">
        <v>2</v>
      </c>
      <c r="D325" s="5">
        <v>0</v>
      </c>
    </row>
    <row r="326" spans="1:4">
      <c r="A326" s="20">
        <v>324</v>
      </c>
      <c r="B326" s="34">
        <f t="shared" si="0"/>
        <v>10.4</v>
      </c>
      <c r="C326" s="5">
        <v>2</v>
      </c>
      <c r="D326" s="5">
        <v>0</v>
      </c>
    </row>
    <row r="327" spans="1:4">
      <c r="A327" s="20">
        <v>325</v>
      </c>
      <c r="B327" s="34">
        <f t="shared" si="0"/>
        <v>10.416666666666666</v>
      </c>
      <c r="C327" s="5">
        <v>2</v>
      </c>
      <c r="D327" s="5">
        <v>0</v>
      </c>
    </row>
    <row r="328" spans="1:4">
      <c r="A328" s="20">
        <v>326</v>
      </c>
      <c r="B328" s="34">
        <f t="shared" si="0"/>
        <v>10.433333333333334</v>
      </c>
      <c r="C328" s="5">
        <v>2</v>
      </c>
      <c r="D328" s="5">
        <v>0</v>
      </c>
    </row>
    <row r="329" spans="1:4">
      <c r="A329" s="20">
        <v>327</v>
      </c>
      <c r="B329" s="34">
        <f t="shared" si="0"/>
        <v>10.45</v>
      </c>
      <c r="C329" s="5">
        <v>2</v>
      </c>
      <c r="D329" s="5">
        <v>0</v>
      </c>
    </row>
    <row r="330" spans="1:4">
      <c r="A330" s="20">
        <v>328</v>
      </c>
      <c r="B330" s="34">
        <f t="shared" si="0"/>
        <v>10.466666666666667</v>
      </c>
      <c r="C330" s="5">
        <v>2</v>
      </c>
      <c r="D330" s="5">
        <v>0</v>
      </c>
    </row>
    <row r="331" spans="1:4">
      <c r="A331" s="20">
        <v>329</v>
      </c>
      <c r="B331" s="34">
        <f t="shared" si="0"/>
        <v>10.483333333333333</v>
      </c>
      <c r="C331" s="5">
        <v>2</v>
      </c>
      <c r="D331" s="5">
        <v>0</v>
      </c>
    </row>
    <row r="332" spans="1:4">
      <c r="A332" s="20">
        <v>330</v>
      </c>
      <c r="B332" s="34">
        <f t="shared" si="0"/>
        <v>10.5</v>
      </c>
      <c r="C332" s="5">
        <v>2</v>
      </c>
      <c r="D332" s="5">
        <v>0</v>
      </c>
    </row>
    <row r="333" spans="1:4">
      <c r="A333" s="20">
        <v>331</v>
      </c>
      <c r="B333" s="34">
        <f t="shared" si="0"/>
        <v>10.516666666666667</v>
      </c>
      <c r="C333" s="5">
        <v>2</v>
      </c>
      <c r="D333" s="5">
        <v>0</v>
      </c>
    </row>
    <row r="334" spans="1:4">
      <c r="A334" s="20">
        <v>332</v>
      </c>
      <c r="B334" s="34">
        <f t="shared" si="0"/>
        <v>10.533333333333333</v>
      </c>
      <c r="C334" s="5">
        <v>2</v>
      </c>
      <c r="D334" s="5">
        <v>0</v>
      </c>
    </row>
    <row r="335" spans="1:4">
      <c r="A335" s="20">
        <v>333</v>
      </c>
      <c r="B335" s="34">
        <f t="shared" si="0"/>
        <v>10.55</v>
      </c>
      <c r="C335" s="5">
        <v>2</v>
      </c>
      <c r="D335" s="5">
        <v>0</v>
      </c>
    </row>
    <row r="336" spans="1:4">
      <c r="A336" s="20">
        <v>334</v>
      </c>
      <c r="B336" s="34">
        <f t="shared" si="0"/>
        <v>10.566666666666666</v>
      </c>
      <c r="C336" s="5">
        <v>2</v>
      </c>
      <c r="D336" s="5">
        <v>0</v>
      </c>
    </row>
    <row r="337" spans="1:4">
      <c r="A337" s="20">
        <v>335</v>
      </c>
      <c r="B337" s="34">
        <f t="shared" si="0"/>
        <v>10.583333333333334</v>
      </c>
      <c r="C337" s="5">
        <v>2</v>
      </c>
      <c r="D337" s="5">
        <v>0</v>
      </c>
    </row>
    <row r="338" spans="1:4">
      <c r="A338" s="20">
        <v>336</v>
      </c>
      <c r="B338" s="34">
        <f t="shared" si="0"/>
        <v>10.6</v>
      </c>
      <c r="C338" s="5">
        <v>2</v>
      </c>
      <c r="D338" s="5">
        <v>0</v>
      </c>
    </row>
    <row r="339" spans="1:4">
      <c r="A339" s="20">
        <v>337</v>
      </c>
      <c r="B339" s="34">
        <f t="shared" si="0"/>
        <v>10.616666666666667</v>
      </c>
      <c r="C339" s="5">
        <v>2</v>
      </c>
      <c r="D339" s="5">
        <v>0</v>
      </c>
    </row>
    <row r="340" spans="1:4">
      <c r="A340" s="20">
        <v>338</v>
      </c>
      <c r="B340" s="34">
        <f t="shared" si="0"/>
        <v>10.633333333333333</v>
      </c>
      <c r="C340" s="5">
        <v>2</v>
      </c>
      <c r="D340" s="5">
        <v>0</v>
      </c>
    </row>
    <row r="341" spans="1:4">
      <c r="A341" s="20">
        <v>339</v>
      </c>
      <c r="B341" s="34">
        <f t="shared" si="0"/>
        <v>10.65</v>
      </c>
      <c r="C341" s="5">
        <v>2</v>
      </c>
      <c r="D341" s="5">
        <v>0</v>
      </c>
    </row>
    <row r="342" spans="1:4">
      <c r="A342" s="20">
        <v>340</v>
      </c>
      <c r="B342" s="34">
        <f t="shared" si="0"/>
        <v>10.666666666666666</v>
      </c>
      <c r="C342" s="5">
        <v>2</v>
      </c>
      <c r="D342" s="5">
        <v>0</v>
      </c>
    </row>
    <row r="343" spans="1:4">
      <c r="A343" s="20">
        <v>341</v>
      </c>
      <c r="B343" s="34">
        <f t="shared" si="0"/>
        <v>10.683333333333334</v>
      </c>
      <c r="C343" s="5">
        <v>2</v>
      </c>
      <c r="D343" s="5">
        <v>0</v>
      </c>
    </row>
    <row r="344" spans="1:4">
      <c r="A344" s="20">
        <v>342</v>
      </c>
      <c r="B344" s="34">
        <f t="shared" si="0"/>
        <v>10.7</v>
      </c>
      <c r="C344" s="5">
        <v>2</v>
      </c>
      <c r="D344" s="5">
        <v>0</v>
      </c>
    </row>
    <row r="345" spans="1:4">
      <c r="A345" s="20">
        <v>343</v>
      </c>
      <c r="B345" s="34">
        <f t="shared" si="0"/>
        <v>10.716666666666667</v>
      </c>
      <c r="C345" s="5">
        <v>2</v>
      </c>
      <c r="D345" s="5">
        <v>0</v>
      </c>
    </row>
    <row r="346" spans="1:4">
      <c r="A346" s="20">
        <v>344</v>
      </c>
      <c r="B346" s="34">
        <f t="shared" si="0"/>
        <v>10.733333333333333</v>
      </c>
      <c r="C346" s="5">
        <v>2</v>
      </c>
      <c r="D346" s="5">
        <v>0</v>
      </c>
    </row>
    <row r="347" spans="1:4">
      <c r="A347" s="20">
        <v>345</v>
      </c>
      <c r="B347" s="34">
        <f t="shared" si="0"/>
        <v>10.75</v>
      </c>
      <c r="C347" s="5">
        <v>2</v>
      </c>
      <c r="D347" s="5">
        <v>0</v>
      </c>
    </row>
    <row r="348" spans="1:4">
      <c r="A348" s="20">
        <v>346</v>
      </c>
      <c r="B348" s="34">
        <f t="shared" si="0"/>
        <v>10.766666666666667</v>
      </c>
      <c r="C348" s="5">
        <v>2</v>
      </c>
      <c r="D348" s="5">
        <v>0</v>
      </c>
    </row>
    <row r="349" spans="1:4">
      <c r="A349" s="20">
        <v>347</v>
      </c>
      <c r="B349" s="34">
        <f t="shared" si="0"/>
        <v>10.783333333333333</v>
      </c>
      <c r="C349" s="5">
        <v>2</v>
      </c>
      <c r="D349" s="5">
        <v>0</v>
      </c>
    </row>
    <row r="350" spans="1:4">
      <c r="A350" s="20">
        <v>348</v>
      </c>
      <c r="B350" s="34">
        <f t="shared" si="0"/>
        <v>10.8</v>
      </c>
      <c r="C350" s="5">
        <v>2</v>
      </c>
      <c r="D350" s="5">
        <v>0</v>
      </c>
    </row>
    <row r="351" spans="1:4">
      <c r="A351" s="20">
        <v>349</v>
      </c>
      <c r="B351" s="34">
        <f t="shared" si="0"/>
        <v>10.816666666666666</v>
      </c>
      <c r="C351" s="5">
        <v>2</v>
      </c>
      <c r="D351" s="5">
        <v>0</v>
      </c>
    </row>
    <row r="352" spans="1:4">
      <c r="A352" s="20">
        <v>350</v>
      </c>
      <c r="B352" s="34">
        <f t="shared" si="0"/>
        <v>10.833333333333334</v>
      </c>
      <c r="C352" s="5">
        <v>2</v>
      </c>
      <c r="D352" s="5">
        <v>0</v>
      </c>
    </row>
    <row r="353" spans="1:4">
      <c r="A353" s="20">
        <v>351</v>
      </c>
      <c r="B353" s="34">
        <f t="shared" si="0"/>
        <v>10.85</v>
      </c>
      <c r="C353" s="5">
        <v>2</v>
      </c>
      <c r="D353" s="5">
        <v>0</v>
      </c>
    </row>
    <row r="354" spans="1:4">
      <c r="A354" s="20">
        <v>352</v>
      </c>
      <c r="B354" s="34">
        <f t="shared" si="0"/>
        <v>10.866666666666667</v>
      </c>
      <c r="C354" s="5">
        <v>2</v>
      </c>
      <c r="D354" s="5">
        <v>0</v>
      </c>
    </row>
    <row r="355" spans="1:4">
      <c r="A355" s="20">
        <v>353</v>
      </c>
      <c r="B355" s="34">
        <f t="shared" si="0"/>
        <v>10.883333333333333</v>
      </c>
      <c r="C355" s="5">
        <v>2</v>
      </c>
      <c r="D355" s="5">
        <v>0</v>
      </c>
    </row>
    <row r="356" spans="1:4">
      <c r="A356" s="20">
        <v>354</v>
      </c>
      <c r="B356" s="34">
        <f t="shared" si="0"/>
        <v>10.9</v>
      </c>
      <c r="C356" s="5">
        <v>2</v>
      </c>
      <c r="D356" s="5">
        <v>0</v>
      </c>
    </row>
    <row r="357" spans="1:4">
      <c r="A357" s="20">
        <v>355</v>
      </c>
      <c r="B357" s="34">
        <f t="shared" si="0"/>
        <v>10.916666666666666</v>
      </c>
      <c r="C357" s="5">
        <v>2</v>
      </c>
      <c r="D357" s="5">
        <v>0</v>
      </c>
    </row>
    <row r="358" spans="1:4">
      <c r="A358" s="20">
        <v>356</v>
      </c>
      <c r="B358" s="34">
        <f t="shared" si="0"/>
        <v>10.933333333333334</v>
      </c>
      <c r="C358" s="5">
        <v>2</v>
      </c>
      <c r="D358" s="5">
        <v>0</v>
      </c>
    </row>
    <row r="359" spans="1:4">
      <c r="A359" s="20">
        <v>357</v>
      </c>
      <c r="B359" s="34">
        <f t="shared" si="0"/>
        <v>10.95</v>
      </c>
      <c r="C359" s="5">
        <v>2</v>
      </c>
      <c r="D359" s="5">
        <v>0</v>
      </c>
    </row>
    <row r="360" spans="1:4">
      <c r="A360" s="20">
        <v>358</v>
      </c>
      <c r="B360" s="34">
        <f t="shared" si="0"/>
        <v>10.966666666666667</v>
      </c>
      <c r="C360" s="5">
        <v>2</v>
      </c>
      <c r="D360" s="5">
        <v>0</v>
      </c>
    </row>
    <row r="361" spans="1:4">
      <c r="A361" s="20">
        <v>359</v>
      </c>
      <c r="B361" s="34">
        <f t="shared" si="0"/>
        <v>10.983333333333333</v>
      </c>
      <c r="C361" s="5">
        <v>2</v>
      </c>
      <c r="D361" s="5">
        <v>0</v>
      </c>
    </row>
    <row r="362" spans="1:4">
      <c r="A362" s="20">
        <v>360</v>
      </c>
      <c r="B362" s="5">
        <v>11</v>
      </c>
      <c r="C362" s="5">
        <v>2</v>
      </c>
      <c r="D362" s="5">
        <v>0</v>
      </c>
    </row>
    <row r="363" spans="1:4">
      <c r="A363" s="20">
        <v>361</v>
      </c>
      <c r="B363" s="34">
        <f>(A363-$A$362)/60+$B$362</f>
        <v>11.016666666666667</v>
      </c>
      <c r="C363" s="5">
        <v>2</v>
      </c>
      <c r="D363" s="5">
        <v>0</v>
      </c>
    </row>
    <row r="364" spans="1:4">
      <c r="A364" s="20">
        <v>362</v>
      </c>
      <c r="B364" s="34">
        <f t="shared" ref="B364:B421" si="1">(A364-$A$362)/60+$B$362</f>
        <v>11.033333333333333</v>
      </c>
      <c r="C364" s="5">
        <v>2</v>
      </c>
      <c r="D364" s="5">
        <v>0</v>
      </c>
    </row>
    <row r="365" spans="1:4">
      <c r="A365" s="20">
        <v>363</v>
      </c>
      <c r="B365" s="34">
        <f t="shared" si="1"/>
        <v>11.05</v>
      </c>
      <c r="C365" s="5">
        <v>2</v>
      </c>
      <c r="D365" s="5">
        <v>0</v>
      </c>
    </row>
    <row r="366" spans="1:4">
      <c r="A366" s="20">
        <v>364</v>
      </c>
      <c r="B366" s="34">
        <f t="shared" si="1"/>
        <v>11.066666666666666</v>
      </c>
      <c r="C366" s="5">
        <v>2</v>
      </c>
      <c r="D366" s="5">
        <v>0</v>
      </c>
    </row>
    <row r="367" spans="1:4">
      <c r="A367" s="20">
        <v>365</v>
      </c>
      <c r="B367" s="34">
        <f t="shared" si="1"/>
        <v>11.083333333333334</v>
      </c>
      <c r="C367" s="5">
        <v>2</v>
      </c>
      <c r="D367" s="5">
        <v>0</v>
      </c>
    </row>
    <row r="368" spans="1:4">
      <c r="A368" s="20">
        <v>366</v>
      </c>
      <c r="B368" s="34">
        <f t="shared" si="1"/>
        <v>11.1</v>
      </c>
      <c r="C368" s="5">
        <v>2</v>
      </c>
      <c r="D368" s="5">
        <v>0</v>
      </c>
    </row>
    <row r="369" spans="1:4">
      <c r="A369" s="20">
        <v>367</v>
      </c>
      <c r="B369" s="34">
        <f t="shared" si="1"/>
        <v>11.116666666666667</v>
      </c>
      <c r="C369" s="5">
        <v>2</v>
      </c>
      <c r="D369" s="5">
        <v>0</v>
      </c>
    </row>
    <row r="370" spans="1:4">
      <c r="A370" s="20">
        <v>368</v>
      </c>
      <c r="B370" s="34">
        <f t="shared" si="1"/>
        <v>11.133333333333333</v>
      </c>
      <c r="C370" s="5">
        <v>2</v>
      </c>
      <c r="D370" s="5">
        <v>0</v>
      </c>
    </row>
    <row r="371" spans="1:4">
      <c r="A371" s="20">
        <v>369</v>
      </c>
      <c r="B371" s="34">
        <f t="shared" si="1"/>
        <v>11.15</v>
      </c>
      <c r="C371" s="5">
        <v>2</v>
      </c>
      <c r="D371" s="5">
        <v>0</v>
      </c>
    </row>
    <row r="372" spans="1:4">
      <c r="A372" s="20">
        <v>370</v>
      </c>
      <c r="B372" s="34">
        <f t="shared" si="1"/>
        <v>11.166666666666666</v>
      </c>
      <c r="C372" s="5">
        <v>2</v>
      </c>
      <c r="D372" s="5">
        <v>0</v>
      </c>
    </row>
    <row r="373" spans="1:4">
      <c r="A373" s="20">
        <v>371</v>
      </c>
      <c r="B373" s="34">
        <f t="shared" si="1"/>
        <v>11.183333333333334</v>
      </c>
      <c r="C373" s="5">
        <v>2</v>
      </c>
      <c r="D373" s="5">
        <v>0</v>
      </c>
    </row>
    <row r="374" spans="1:4">
      <c r="A374" s="20">
        <v>372</v>
      </c>
      <c r="B374" s="34">
        <f t="shared" si="1"/>
        <v>11.2</v>
      </c>
      <c r="C374" s="5">
        <v>2</v>
      </c>
      <c r="D374" s="5">
        <v>0</v>
      </c>
    </row>
    <row r="375" spans="1:4">
      <c r="A375" s="20">
        <v>373</v>
      </c>
      <c r="B375" s="34">
        <f t="shared" si="1"/>
        <v>11.216666666666667</v>
      </c>
      <c r="C375" s="5">
        <v>2</v>
      </c>
      <c r="D375" s="5">
        <v>0</v>
      </c>
    </row>
    <row r="376" spans="1:4">
      <c r="A376" s="20">
        <v>374</v>
      </c>
      <c r="B376" s="34">
        <f t="shared" si="1"/>
        <v>11.233333333333333</v>
      </c>
      <c r="C376" s="5">
        <v>2</v>
      </c>
      <c r="D376" s="5">
        <v>0</v>
      </c>
    </row>
    <row r="377" spans="1:4">
      <c r="A377" s="20">
        <v>375</v>
      </c>
      <c r="B377" s="34">
        <f t="shared" si="1"/>
        <v>11.25</v>
      </c>
      <c r="C377" s="5">
        <v>2</v>
      </c>
      <c r="D377" s="5">
        <v>0</v>
      </c>
    </row>
    <row r="378" spans="1:4">
      <c r="A378" s="20">
        <v>376</v>
      </c>
      <c r="B378" s="34">
        <f t="shared" si="1"/>
        <v>11.266666666666667</v>
      </c>
      <c r="C378" s="5">
        <v>2</v>
      </c>
      <c r="D378" s="5">
        <v>0</v>
      </c>
    </row>
    <row r="379" spans="1:4">
      <c r="A379" s="20">
        <v>377</v>
      </c>
      <c r="B379" s="34">
        <f t="shared" si="1"/>
        <v>11.283333333333333</v>
      </c>
      <c r="C379" s="5">
        <v>2</v>
      </c>
      <c r="D379" s="5">
        <v>0</v>
      </c>
    </row>
    <row r="380" spans="1:4">
      <c r="A380" s="20">
        <v>378</v>
      </c>
      <c r="B380" s="34">
        <f t="shared" si="1"/>
        <v>11.3</v>
      </c>
      <c r="C380" s="5">
        <v>2</v>
      </c>
      <c r="D380" s="5">
        <v>0</v>
      </c>
    </row>
    <row r="381" spans="1:4">
      <c r="A381" s="20">
        <v>379</v>
      </c>
      <c r="B381" s="34">
        <f t="shared" si="1"/>
        <v>11.316666666666666</v>
      </c>
      <c r="C381" s="5">
        <v>2</v>
      </c>
      <c r="D381" s="5">
        <v>0</v>
      </c>
    </row>
    <row r="382" spans="1:4">
      <c r="A382" s="20">
        <v>380</v>
      </c>
      <c r="B382" s="34">
        <f t="shared" si="1"/>
        <v>11.333333333333334</v>
      </c>
      <c r="C382" s="5">
        <v>2</v>
      </c>
      <c r="D382" s="5">
        <v>0</v>
      </c>
    </row>
    <row r="383" spans="1:4">
      <c r="A383" s="20">
        <v>381</v>
      </c>
      <c r="B383" s="34">
        <f t="shared" si="1"/>
        <v>11.35</v>
      </c>
      <c r="C383" s="5">
        <v>2</v>
      </c>
      <c r="D383" s="5">
        <v>0</v>
      </c>
    </row>
    <row r="384" spans="1:4">
      <c r="A384" s="20">
        <v>382</v>
      </c>
      <c r="B384" s="34">
        <f t="shared" si="1"/>
        <v>11.366666666666667</v>
      </c>
      <c r="C384" s="5">
        <v>2</v>
      </c>
      <c r="D384" s="5">
        <v>0</v>
      </c>
    </row>
    <row r="385" spans="1:4">
      <c r="A385" s="20">
        <v>383</v>
      </c>
      <c r="B385" s="34">
        <f t="shared" si="1"/>
        <v>11.383333333333333</v>
      </c>
      <c r="C385" s="5">
        <v>2</v>
      </c>
      <c r="D385" s="5">
        <v>0</v>
      </c>
    </row>
    <row r="386" spans="1:4">
      <c r="A386" s="20">
        <v>384</v>
      </c>
      <c r="B386" s="34">
        <f t="shared" si="1"/>
        <v>11.4</v>
      </c>
      <c r="C386" s="5">
        <v>2</v>
      </c>
      <c r="D386" s="5">
        <v>0</v>
      </c>
    </row>
    <row r="387" spans="1:4">
      <c r="A387" s="20">
        <v>385</v>
      </c>
      <c r="B387" s="34">
        <f t="shared" si="1"/>
        <v>11.416666666666666</v>
      </c>
      <c r="C387" s="5">
        <v>2</v>
      </c>
      <c r="D387" s="5">
        <v>0</v>
      </c>
    </row>
    <row r="388" spans="1:4">
      <c r="A388" s="20">
        <v>386</v>
      </c>
      <c r="B388" s="34">
        <f t="shared" si="1"/>
        <v>11.433333333333334</v>
      </c>
      <c r="C388" s="5">
        <v>2</v>
      </c>
      <c r="D388" s="5">
        <v>0</v>
      </c>
    </row>
    <row r="389" spans="1:4">
      <c r="A389" s="20">
        <v>387</v>
      </c>
      <c r="B389" s="34">
        <f t="shared" si="1"/>
        <v>11.45</v>
      </c>
      <c r="C389" s="5">
        <v>2</v>
      </c>
      <c r="D389" s="5">
        <v>0</v>
      </c>
    </row>
    <row r="390" spans="1:4">
      <c r="A390" s="20">
        <v>388</v>
      </c>
      <c r="B390" s="34">
        <f t="shared" si="1"/>
        <v>11.466666666666667</v>
      </c>
      <c r="C390" s="5">
        <v>2</v>
      </c>
      <c r="D390" s="5">
        <v>0</v>
      </c>
    </row>
    <row r="391" spans="1:4">
      <c r="A391" s="20">
        <v>389</v>
      </c>
      <c r="B391" s="34">
        <f t="shared" si="1"/>
        <v>11.483333333333333</v>
      </c>
      <c r="C391" s="5">
        <v>2</v>
      </c>
      <c r="D391" s="5">
        <v>0</v>
      </c>
    </row>
    <row r="392" spans="1:4">
      <c r="A392" s="20">
        <v>390</v>
      </c>
      <c r="B392" s="34">
        <f t="shared" si="1"/>
        <v>11.5</v>
      </c>
      <c r="C392" s="5">
        <v>2</v>
      </c>
      <c r="D392" s="5">
        <v>0</v>
      </c>
    </row>
    <row r="393" spans="1:4">
      <c r="A393" s="20">
        <v>391</v>
      </c>
      <c r="B393" s="34">
        <f t="shared" si="1"/>
        <v>11.516666666666667</v>
      </c>
      <c r="C393" s="5">
        <v>2</v>
      </c>
      <c r="D393" s="5">
        <v>0</v>
      </c>
    </row>
    <row r="394" spans="1:4">
      <c r="A394" s="20">
        <v>392</v>
      </c>
      <c r="B394" s="34">
        <f t="shared" si="1"/>
        <v>11.533333333333333</v>
      </c>
      <c r="C394" s="5">
        <v>2</v>
      </c>
      <c r="D394" s="5">
        <v>0</v>
      </c>
    </row>
    <row r="395" spans="1:4">
      <c r="A395" s="20">
        <v>393</v>
      </c>
      <c r="B395" s="34">
        <f t="shared" si="1"/>
        <v>11.55</v>
      </c>
      <c r="C395" s="5">
        <v>2</v>
      </c>
      <c r="D395" s="5">
        <v>0</v>
      </c>
    </row>
    <row r="396" spans="1:4">
      <c r="A396" s="20">
        <v>394</v>
      </c>
      <c r="B396" s="34">
        <f t="shared" si="1"/>
        <v>11.566666666666666</v>
      </c>
      <c r="C396" s="5">
        <v>2</v>
      </c>
      <c r="D396" s="5">
        <v>0</v>
      </c>
    </row>
    <row r="397" spans="1:4">
      <c r="A397" s="20">
        <v>395</v>
      </c>
      <c r="B397" s="34">
        <f t="shared" si="1"/>
        <v>11.583333333333334</v>
      </c>
      <c r="C397" s="5">
        <v>2</v>
      </c>
      <c r="D397" s="5">
        <v>0</v>
      </c>
    </row>
    <row r="398" spans="1:4">
      <c r="A398" s="20">
        <v>396</v>
      </c>
      <c r="B398" s="34">
        <f t="shared" si="1"/>
        <v>11.6</v>
      </c>
      <c r="C398" s="5">
        <v>2</v>
      </c>
      <c r="D398" s="5">
        <v>0</v>
      </c>
    </row>
    <row r="399" spans="1:4">
      <c r="A399" s="20">
        <v>397</v>
      </c>
      <c r="B399" s="34">
        <f t="shared" si="1"/>
        <v>11.616666666666667</v>
      </c>
      <c r="C399" s="5">
        <v>2</v>
      </c>
      <c r="D399" s="5">
        <v>0</v>
      </c>
    </row>
    <row r="400" spans="1:4">
      <c r="A400" s="20">
        <v>398</v>
      </c>
      <c r="B400" s="34">
        <f t="shared" si="1"/>
        <v>11.633333333333333</v>
      </c>
      <c r="C400" s="5">
        <v>2</v>
      </c>
      <c r="D400" s="5">
        <v>0</v>
      </c>
    </row>
    <row r="401" spans="1:4">
      <c r="A401" s="20">
        <v>399</v>
      </c>
      <c r="B401" s="34">
        <f t="shared" si="1"/>
        <v>11.65</v>
      </c>
      <c r="C401" s="5">
        <v>2</v>
      </c>
      <c r="D401" s="5">
        <v>0</v>
      </c>
    </row>
    <row r="402" spans="1:4">
      <c r="A402" s="20">
        <v>400</v>
      </c>
      <c r="B402" s="34">
        <f t="shared" si="1"/>
        <v>11.666666666666666</v>
      </c>
      <c r="C402" s="5">
        <v>2</v>
      </c>
      <c r="D402" s="5">
        <v>0</v>
      </c>
    </row>
    <row r="403" spans="1:4">
      <c r="A403" s="20">
        <v>401</v>
      </c>
      <c r="B403" s="34">
        <f t="shared" si="1"/>
        <v>11.683333333333334</v>
      </c>
      <c r="C403" s="5">
        <v>2</v>
      </c>
      <c r="D403" s="5">
        <v>0</v>
      </c>
    </row>
    <row r="404" spans="1:4">
      <c r="A404" s="20">
        <v>402</v>
      </c>
      <c r="B404" s="34">
        <f t="shared" si="1"/>
        <v>11.7</v>
      </c>
      <c r="C404" s="5">
        <v>2</v>
      </c>
      <c r="D404" s="5">
        <v>0</v>
      </c>
    </row>
    <row r="405" spans="1:4">
      <c r="A405" s="20">
        <v>403</v>
      </c>
      <c r="B405" s="34">
        <f t="shared" si="1"/>
        <v>11.716666666666667</v>
      </c>
      <c r="C405" s="5">
        <v>2</v>
      </c>
      <c r="D405" s="5">
        <v>0</v>
      </c>
    </row>
    <row r="406" spans="1:4">
      <c r="A406" s="20">
        <v>404</v>
      </c>
      <c r="B406" s="34">
        <f t="shared" si="1"/>
        <v>11.733333333333333</v>
      </c>
      <c r="C406" s="5">
        <v>2</v>
      </c>
      <c r="D406" s="5">
        <v>0</v>
      </c>
    </row>
    <row r="407" spans="1:4">
      <c r="A407" s="20">
        <v>405</v>
      </c>
      <c r="B407" s="34">
        <f t="shared" si="1"/>
        <v>11.75</v>
      </c>
      <c r="C407" s="5">
        <v>2</v>
      </c>
      <c r="D407" s="5">
        <v>0</v>
      </c>
    </row>
    <row r="408" spans="1:4">
      <c r="A408" s="20">
        <v>406</v>
      </c>
      <c r="B408" s="34">
        <f t="shared" si="1"/>
        <v>11.766666666666667</v>
      </c>
      <c r="C408" s="5">
        <v>2</v>
      </c>
      <c r="D408" s="5">
        <v>0</v>
      </c>
    </row>
    <row r="409" spans="1:4">
      <c r="A409" s="20">
        <v>407</v>
      </c>
      <c r="B409" s="34">
        <f t="shared" si="1"/>
        <v>11.783333333333333</v>
      </c>
      <c r="C409" s="5">
        <v>2</v>
      </c>
      <c r="D409" s="5">
        <v>0</v>
      </c>
    </row>
    <row r="410" spans="1:4">
      <c r="A410" s="20">
        <v>408</v>
      </c>
      <c r="B410" s="34">
        <f t="shared" si="1"/>
        <v>11.8</v>
      </c>
      <c r="C410" s="5">
        <v>2</v>
      </c>
      <c r="D410" s="5">
        <v>0</v>
      </c>
    </row>
    <row r="411" spans="1:4">
      <c r="A411" s="20">
        <v>409</v>
      </c>
      <c r="B411" s="34">
        <f t="shared" si="1"/>
        <v>11.816666666666666</v>
      </c>
      <c r="C411" s="5">
        <v>2</v>
      </c>
      <c r="D411" s="5">
        <v>0</v>
      </c>
    </row>
    <row r="412" spans="1:4">
      <c r="A412" s="20">
        <v>410</v>
      </c>
      <c r="B412" s="34">
        <f t="shared" si="1"/>
        <v>11.833333333333334</v>
      </c>
      <c r="C412" s="5">
        <v>2</v>
      </c>
      <c r="D412" s="5">
        <v>0</v>
      </c>
    </row>
    <row r="413" spans="1:4">
      <c r="A413" s="20">
        <v>411</v>
      </c>
      <c r="B413" s="34">
        <f t="shared" si="1"/>
        <v>11.85</v>
      </c>
      <c r="C413" s="5">
        <v>2</v>
      </c>
      <c r="D413" s="5">
        <v>0</v>
      </c>
    </row>
    <row r="414" spans="1:4">
      <c r="A414" s="20">
        <v>412</v>
      </c>
      <c r="B414" s="34">
        <f t="shared" si="1"/>
        <v>11.866666666666667</v>
      </c>
      <c r="C414" s="5">
        <v>2</v>
      </c>
      <c r="D414" s="5">
        <v>0</v>
      </c>
    </row>
    <row r="415" spans="1:4">
      <c r="A415" s="20">
        <v>413</v>
      </c>
      <c r="B415" s="34">
        <f t="shared" si="1"/>
        <v>11.883333333333333</v>
      </c>
      <c r="C415" s="5">
        <v>2</v>
      </c>
      <c r="D415" s="5">
        <v>0</v>
      </c>
    </row>
    <row r="416" spans="1:4">
      <c r="A416" s="20">
        <v>414</v>
      </c>
      <c r="B416" s="34">
        <f t="shared" si="1"/>
        <v>11.9</v>
      </c>
      <c r="C416" s="5">
        <v>2</v>
      </c>
      <c r="D416" s="5">
        <v>0</v>
      </c>
    </row>
    <row r="417" spans="1:4">
      <c r="A417" s="20">
        <v>415</v>
      </c>
      <c r="B417" s="34">
        <f t="shared" si="1"/>
        <v>11.916666666666666</v>
      </c>
      <c r="C417" s="5">
        <v>2</v>
      </c>
      <c r="D417" s="5">
        <v>0</v>
      </c>
    </row>
    <row r="418" spans="1:4">
      <c r="A418" s="20">
        <v>416</v>
      </c>
      <c r="B418" s="34">
        <f t="shared" si="1"/>
        <v>11.933333333333334</v>
      </c>
      <c r="C418" s="5">
        <v>2</v>
      </c>
      <c r="D418" s="5">
        <v>0</v>
      </c>
    </row>
    <row r="419" spans="1:4">
      <c r="A419" s="20">
        <v>417</v>
      </c>
      <c r="B419" s="34">
        <f t="shared" si="1"/>
        <v>11.95</v>
      </c>
      <c r="C419" s="5">
        <v>2</v>
      </c>
      <c r="D419" s="5">
        <v>0</v>
      </c>
    </row>
    <row r="420" spans="1:4">
      <c r="A420" s="20">
        <v>418</v>
      </c>
      <c r="B420" s="34">
        <f t="shared" si="1"/>
        <v>11.966666666666667</v>
      </c>
      <c r="C420" s="5">
        <v>2</v>
      </c>
      <c r="D420" s="5">
        <v>0</v>
      </c>
    </row>
    <row r="421" spans="1:4">
      <c r="A421" s="20">
        <v>419</v>
      </c>
      <c r="B421" s="34">
        <f t="shared" si="1"/>
        <v>11.983333333333333</v>
      </c>
      <c r="C421" s="5">
        <v>2</v>
      </c>
      <c r="D421" s="5">
        <v>0</v>
      </c>
    </row>
    <row r="422" spans="1:4">
      <c r="A422" s="20">
        <v>420</v>
      </c>
      <c r="B422" s="5">
        <v>12</v>
      </c>
      <c r="C422" s="5">
        <v>2</v>
      </c>
      <c r="D422" s="5">
        <v>0</v>
      </c>
    </row>
    <row r="423" spans="1:4">
      <c r="A423" s="20">
        <v>421</v>
      </c>
      <c r="B423" s="34">
        <f>(A423-$A$422)*2/60+$B$422</f>
        <v>12.033333333333333</v>
      </c>
      <c r="C423" s="5">
        <v>2</v>
      </c>
      <c r="D423" s="5">
        <f>(A423-$A$422)*207/60</f>
        <v>3.45</v>
      </c>
    </row>
    <row r="424" spans="1:4">
      <c r="A424" s="20">
        <v>422</v>
      </c>
      <c r="B424" s="34">
        <f>(A424-$A$422)*2/60+$B$422</f>
        <v>12.066666666666666</v>
      </c>
      <c r="C424" s="5">
        <v>2</v>
      </c>
      <c r="D424" s="5">
        <f t="shared" ref="D424:D482" si="2">(A424-$A$422)*207/60</f>
        <v>6.9</v>
      </c>
    </row>
    <row r="425" spans="1:4">
      <c r="A425" s="20">
        <v>423</v>
      </c>
      <c r="B425" s="34">
        <f t="shared" ref="B425:B488" si="3">(A425-$A$422)*2/60+$B$422</f>
        <v>12.1</v>
      </c>
      <c r="C425" s="5">
        <v>2</v>
      </c>
      <c r="D425" s="5">
        <f t="shared" si="2"/>
        <v>10.35</v>
      </c>
    </row>
    <row r="426" spans="1:4">
      <c r="A426" s="20">
        <v>424</v>
      </c>
      <c r="B426" s="34">
        <f t="shared" si="3"/>
        <v>12.133333333333333</v>
      </c>
      <c r="C426" s="5">
        <v>2</v>
      </c>
      <c r="D426" s="5">
        <f t="shared" si="2"/>
        <v>13.8</v>
      </c>
    </row>
    <row r="427" spans="1:4">
      <c r="A427" s="20">
        <v>425</v>
      </c>
      <c r="B427" s="34">
        <f t="shared" si="3"/>
        <v>12.166666666666666</v>
      </c>
      <c r="C427" s="5">
        <v>2</v>
      </c>
      <c r="D427" s="5">
        <f t="shared" si="2"/>
        <v>17.25</v>
      </c>
    </row>
    <row r="428" spans="1:4">
      <c r="A428" s="20">
        <v>426</v>
      </c>
      <c r="B428" s="34">
        <f t="shared" si="3"/>
        <v>12.2</v>
      </c>
      <c r="C428" s="5">
        <v>2</v>
      </c>
      <c r="D428" s="5">
        <f t="shared" si="2"/>
        <v>20.7</v>
      </c>
    </row>
    <row r="429" spans="1:4">
      <c r="A429" s="20">
        <v>427</v>
      </c>
      <c r="B429" s="34">
        <f t="shared" si="3"/>
        <v>12.233333333333333</v>
      </c>
      <c r="C429" s="5">
        <v>2</v>
      </c>
      <c r="D429" s="5">
        <f t="shared" si="2"/>
        <v>24.15</v>
      </c>
    </row>
    <row r="430" spans="1:4">
      <c r="A430" s="20">
        <v>428</v>
      </c>
      <c r="B430" s="34">
        <f t="shared" si="3"/>
        <v>12.266666666666667</v>
      </c>
      <c r="C430" s="5">
        <v>2</v>
      </c>
      <c r="D430" s="5">
        <f t="shared" si="2"/>
        <v>27.6</v>
      </c>
    </row>
    <row r="431" spans="1:4">
      <c r="A431" s="20">
        <v>429</v>
      </c>
      <c r="B431" s="34">
        <f t="shared" si="3"/>
        <v>12.3</v>
      </c>
      <c r="C431" s="5">
        <v>2</v>
      </c>
      <c r="D431" s="5">
        <f t="shared" si="2"/>
        <v>31.05</v>
      </c>
    </row>
    <row r="432" spans="1:4">
      <c r="A432" s="20">
        <v>430</v>
      </c>
      <c r="B432" s="34">
        <f t="shared" si="3"/>
        <v>12.333333333333334</v>
      </c>
      <c r="C432" s="5">
        <v>2</v>
      </c>
      <c r="D432" s="5">
        <f t="shared" si="2"/>
        <v>34.5</v>
      </c>
    </row>
    <row r="433" spans="1:4">
      <c r="A433" s="20">
        <v>431</v>
      </c>
      <c r="B433" s="34">
        <f t="shared" si="3"/>
        <v>12.366666666666667</v>
      </c>
      <c r="C433" s="5">
        <v>2</v>
      </c>
      <c r="D433" s="5">
        <f t="shared" si="2"/>
        <v>37.950000000000003</v>
      </c>
    </row>
    <row r="434" spans="1:4">
      <c r="A434" s="20">
        <v>432</v>
      </c>
      <c r="B434" s="34">
        <f t="shared" si="3"/>
        <v>12.4</v>
      </c>
      <c r="C434" s="5">
        <v>2</v>
      </c>
      <c r="D434" s="5">
        <f t="shared" si="2"/>
        <v>41.4</v>
      </c>
    </row>
    <row r="435" spans="1:4">
      <c r="A435" s="20">
        <v>433</v>
      </c>
      <c r="B435" s="34">
        <f t="shared" si="3"/>
        <v>12.433333333333334</v>
      </c>
      <c r="C435" s="5">
        <v>2</v>
      </c>
      <c r="D435" s="5">
        <f t="shared" si="2"/>
        <v>44.85</v>
      </c>
    </row>
    <row r="436" spans="1:4">
      <c r="A436" s="20">
        <v>434</v>
      </c>
      <c r="B436" s="34">
        <f t="shared" si="3"/>
        <v>12.466666666666667</v>
      </c>
      <c r="C436" s="5">
        <v>2</v>
      </c>
      <c r="D436" s="5">
        <f t="shared" si="2"/>
        <v>48.3</v>
      </c>
    </row>
    <row r="437" spans="1:4">
      <c r="A437" s="20">
        <v>435</v>
      </c>
      <c r="B437" s="34">
        <f t="shared" si="3"/>
        <v>12.5</v>
      </c>
      <c r="C437" s="5">
        <v>2</v>
      </c>
      <c r="D437" s="5">
        <f t="shared" si="2"/>
        <v>51.75</v>
      </c>
    </row>
    <row r="438" spans="1:4">
      <c r="A438" s="20">
        <v>436</v>
      </c>
      <c r="B438" s="34">
        <f t="shared" si="3"/>
        <v>12.533333333333333</v>
      </c>
      <c r="C438" s="5">
        <v>2</v>
      </c>
      <c r="D438" s="5">
        <f t="shared" si="2"/>
        <v>55.2</v>
      </c>
    </row>
    <row r="439" spans="1:4">
      <c r="A439" s="20">
        <v>437</v>
      </c>
      <c r="B439" s="34">
        <f t="shared" si="3"/>
        <v>12.566666666666666</v>
      </c>
      <c r="C439" s="5">
        <v>2</v>
      </c>
      <c r="D439" s="5">
        <f t="shared" si="2"/>
        <v>58.65</v>
      </c>
    </row>
    <row r="440" spans="1:4">
      <c r="A440" s="20">
        <v>438</v>
      </c>
      <c r="B440" s="34">
        <f t="shared" si="3"/>
        <v>12.6</v>
      </c>
      <c r="C440" s="5">
        <v>2</v>
      </c>
      <c r="D440" s="5">
        <f t="shared" si="2"/>
        <v>62.1</v>
      </c>
    </row>
    <row r="441" spans="1:4">
      <c r="A441" s="20">
        <v>439</v>
      </c>
      <c r="B441" s="34">
        <f t="shared" si="3"/>
        <v>12.633333333333333</v>
      </c>
      <c r="C441" s="5">
        <v>2</v>
      </c>
      <c r="D441" s="5">
        <f t="shared" si="2"/>
        <v>65.55</v>
      </c>
    </row>
    <row r="442" spans="1:4">
      <c r="A442" s="20">
        <v>440</v>
      </c>
      <c r="B442" s="34">
        <f t="shared" si="3"/>
        <v>12.666666666666666</v>
      </c>
      <c r="C442" s="5">
        <v>2</v>
      </c>
      <c r="D442" s="5">
        <f t="shared" si="2"/>
        <v>69</v>
      </c>
    </row>
    <row r="443" spans="1:4">
      <c r="A443" s="20">
        <v>441</v>
      </c>
      <c r="B443" s="34">
        <f t="shared" si="3"/>
        <v>12.7</v>
      </c>
      <c r="C443" s="5">
        <v>2</v>
      </c>
      <c r="D443" s="5">
        <f t="shared" si="2"/>
        <v>72.45</v>
      </c>
    </row>
    <row r="444" spans="1:4">
      <c r="A444" s="20">
        <v>442</v>
      </c>
      <c r="B444" s="34">
        <f t="shared" si="3"/>
        <v>12.733333333333333</v>
      </c>
      <c r="C444" s="5">
        <v>2</v>
      </c>
      <c r="D444" s="5">
        <f t="shared" si="2"/>
        <v>75.900000000000006</v>
      </c>
    </row>
    <row r="445" spans="1:4">
      <c r="A445" s="20">
        <v>443</v>
      </c>
      <c r="B445" s="34">
        <f t="shared" si="3"/>
        <v>12.766666666666667</v>
      </c>
      <c r="C445" s="5">
        <v>2</v>
      </c>
      <c r="D445" s="5">
        <f t="shared" si="2"/>
        <v>79.349999999999994</v>
      </c>
    </row>
    <row r="446" spans="1:4">
      <c r="A446" s="20">
        <v>444</v>
      </c>
      <c r="B446" s="34">
        <f t="shared" si="3"/>
        <v>12.8</v>
      </c>
      <c r="C446" s="5">
        <v>2</v>
      </c>
      <c r="D446" s="5">
        <f t="shared" si="2"/>
        <v>82.8</v>
      </c>
    </row>
    <row r="447" spans="1:4">
      <c r="A447" s="20">
        <v>445</v>
      </c>
      <c r="B447" s="34">
        <f t="shared" si="3"/>
        <v>12.833333333333334</v>
      </c>
      <c r="C447" s="5">
        <v>2</v>
      </c>
      <c r="D447" s="5">
        <f t="shared" si="2"/>
        <v>86.25</v>
      </c>
    </row>
    <row r="448" spans="1:4">
      <c r="A448" s="20">
        <v>446</v>
      </c>
      <c r="B448" s="34">
        <f t="shared" si="3"/>
        <v>12.866666666666667</v>
      </c>
      <c r="C448" s="5">
        <v>2</v>
      </c>
      <c r="D448" s="5">
        <f t="shared" si="2"/>
        <v>89.7</v>
      </c>
    </row>
    <row r="449" spans="1:4">
      <c r="A449" s="20">
        <v>447</v>
      </c>
      <c r="B449" s="34">
        <f t="shared" si="3"/>
        <v>12.9</v>
      </c>
      <c r="C449" s="5">
        <v>2</v>
      </c>
      <c r="D449" s="5">
        <f t="shared" si="2"/>
        <v>93.15</v>
      </c>
    </row>
    <row r="450" spans="1:4">
      <c r="A450" s="20">
        <v>448</v>
      </c>
      <c r="B450" s="34">
        <f t="shared" si="3"/>
        <v>12.933333333333334</v>
      </c>
      <c r="C450" s="5">
        <v>2</v>
      </c>
      <c r="D450" s="5">
        <f t="shared" si="2"/>
        <v>96.6</v>
      </c>
    </row>
    <row r="451" spans="1:4">
      <c r="A451" s="20">
        <v>449</v>
      </c>
      <c r="B451" s="34">
        <f t="shared" si="3"/>
        <v>12.966666666666667</v>
      </c>
      <c r="C451" s="5">
        <v>2</v>
      </c>
      <c r="D451" s="5">
        <f t="shared" si="2"/>
        <v>100.05</v>
      </c>
    </row>
    <row r="452" spans="1:4">
      <c r="A452" s="20">
        <v>450</v>
      </c>
      <c r="B452" s="34">
        <f t="shared" si="3"/>
        <v>13</v>
      </c>
      <c r="C452" s="5">
        <v>2</v>
      </c>
      <c r="D452" s="5">
        <f t="shared" si="2"/>
        <v>103.5</v>
      </c>
    </row>
    <row r="453" spans="1:4">
      <c r="A453" s="20">
        <v>451</v>
      </c>
      <c r="B453" s="34">
        <f t="shared" si="3"/>
        <v>13.033333333333333</v>
      </c>
      <c r="C453" s="5">
        <v>2</v>
      </c>
      <c r="D453" s="5">
        <f t="shared" si="2"/>
        <v>106.95</v>
      </c>
    </row>
    <row r="454" spans="1:4">
      <c r="A454" s="20">
        <v>452</v>
      </c>
      <c r="B454" s="34">
        <f t="shared" si="3"/>
        <v>13.066666666666666</v>
      </c>
      <c r="C454" s="5">
        <v>2</v>
      </c>
      <c r="D454" s="5">
        <f t="shared" si="2"/>
        <v>110.4</v>
      </c>
    </row>
    <row r="455" spans="1:4">
      <c r="A455" s="20">
        <v>453</v>
      </c>
      <c r="B455" s="34">
        <f t="shared" si="3"/>
        <v>13.1</v>
      </c>
      <c r="C455" s="5">
        <v>2</v>
      </c>
      <c r="D455" s="5">
        <f t="shared" si="2"/>
        <v>113.85</v>
      </c>
    </row>
    <row r="456" spans="1:4">
      <c r="A456" s="20">
        <v>454</v>
      </c>
      <c r="B456" s="34">
        <f t="shared" si="3"/>
        <v>13.133333333333333</v>
      </c>
      <c r="C456" s="5">
        <v>2</v>
      </c>
      <c r="D456" s="5">
        <f t="shared" si="2"/>
        <v>117.3</v>
      </c>
    </row>
    <row r="457" spans="1:4">
      <c r="A457" s="20">
        <v>455</v>
      </c>
      <c r="B457" s="34">
        <f t="shared" si="3"/>
        <v>13.166666666666666</v>
      </c>
      <c r="C457" s="5">
        <v>2</v>
      </c>
      <c r="D457" s="5">
        <f t="shared" si="2"/>
        <v>120.75</v>
      </c>
    </row>
    <row r="458" spans="1:4">
      <c r="A458" s="20">
        <v>456</v>
      </c>
      <c r="B458" s="34">
        <f t="shared" si="3"/>
        <v>13.2</v>
      </c>
      <c r="C458" s="5">
        <v>2</v>
      </c>
      <c r="D458" s="5">
        <f t="shared" si="2"/>
        <v>124.2</v>
      </c>
    </row>
    <row r="459" spans="1:4">
      <c r="A459" s="20">
        <v>457</v>
      </c>
      <c r="B459" s="34">
        <f t="shared" si="3"/>
        <v>13.233333333333334</v>
      </c>
      <c r="C459" s="5">
        <v>2</v>
      </c>
      <c r="D459" s="5">
        <f t="shared" si="2"/>
        <v>127.65</v>
      </c>
    </row>
    <row r="460" spans="1:4">
      <c r="A460" s="20">
        <v>458</v>
      </c>
      <c r="B460" s="34">
        <f t="shared" si="3"/>
        <v>13.266666666666666</v>
      </c>
      <c r="C460" s="5">
        <v>2</v>
      </c>
      <c r="D460" s="5">
        <f t="shared" si="2"/>
        <v>131.1</v>
      </c>
    </row>
    <row r="461" spans="1:4">
      <c r="A461" s="20">
        <v>459</v>
      </c>
      <c r="B461" s="34">
        <f t="shared" si="3"/>
        <v>13.3</v>
      </c>
      <c r="C461" s="5">
        <v>2</v>
      </c>
      <c r="D461" s="5">
        <f t="shared" si="2"/>
        <v>134.55000000000001</v>
      </c>
    </row>
    <row r="462" spans="1:4">
      <c r="A462" s="20">
        <v>460</v>
      </c>
      <c r="B462" s="34">
        <f t="shared" si="3"/>
        <v>13.333333333333334</v>
      </c>
      <c r="C462" s="5">
        <v>2</v>
      </c>
      <c r="D462" s="5">
        <f t="shared" si="2"/>
        <v>138</v>
      </c>
    </row>
    <row r="463" spans="1:4">
      <c r="A463" s="20">
        <v>461</v>
      </c>
      <c r="B463" s="34">
        <f t="shared" si="3"/>
        <v>13.366666666666667</v>
      </c>
      <c r="C463" s="5">
        <v>2</v>
      </c>
      <c r="D463" s="5">
        <f t="shared" si="2"/>
        <v>141.44999999999999</v>
      </c>
    </row>
    <row r="464" spans="1:4">
      <c r="A464" s="20">
        <v>462</v>
      </c>
      <c r="B464" s="34">
        <f t="shared" si="3"/>
        <v>13.4</v>
      </c>
      <c r="C464" s="5">
        <v>2</v>
      </c>
      <c r="D464" s="5">
        <f t="shared" si="2"/>
        <v>144.9</v>
      </c>
    </row>
    <row r="465" spans="1:4">
      <c r="A465" s="20">
        <v>463</v>
      </c>
      <c r="B465" s="34">
        <f t="shared" si="3"/>
        <v>13.433333333333334</v>
      </c>
      <c r="C465" s="5">
        <v>2</v>
      </c>
      <c r="D465" s="5">
        <f t="shared" si="2"/>
        <v>148.35</v>
      </c>
    </row>
    <row r="466" spans="1:4">
      <c r="A466" s="20">
        <v>464</v>
      </c>
      <c r="B466" s="34">
        <f t="shared" si="3"/>
        <v>13.466666666666667</v>
      </c>
      <c r="C466" s="5">
        <v>2</v>
      </c>
      <c r="D466" s="5">
        <f t="shared" si="2"/>
        <v>151.80000000000001</v>
      </c>
    </row>
    <row r="467" spans="1:4">
      <c r="A467" s="20">
        <v>465</v>
      </c>
      <c r="B467" s="34">
        <f t="shared" si="3"/>
        <v>13.5</v>
      </c>
      <c r="C467" s="5">
        <v>2</v>
      </c>
      <c r="D467" s="5">
        <f t="shared" si="2"/>
        <v>155.25</v>
      </c>
    </row>
    <row r="468" spans="1:4">
      <c r="A468" s="20">
        <v>466</v>
      </c>
      <c r="B468" s="34">
        <f t="shared" si="3"/>
        <v>13.533333333333333</v>
      </c>
      <c r="C468" s="5">
        <v>2</v>
      </c>
      <c r="D468" s="5">
        <f t="shared" si="2"/>
        <v>158.69999999999999</v>
      </c>
    </row>
    <row r="469" spans="1:4">
      <c r="A469" s="20">
        <v>467</v>
      </c>
      <c r="B469" s="34">
        <f t="shared" si="3"/>
        <v>13.566666666666666</v>
      </c>
      <c r="C469" s="5">
        <v>2</v>
      </c>
      <c r="D469" s="5">
        <f t="shared" si="2"/>
        <v>162.15</v>
      </c>
    </row>
    <row r="470" spans="1:4">
      <c r="A470" s="20">
        <v>468</v>
      </c>
      <c r="B470" s="34">
        <f t="shared" si="3"/>
        <v>13.6</v>
      </c>
      <c r="C470" s="5">
        <v>2</v>
      </c>
      <c r="D470" s="5">
        <f t="shared" si="2"/>
        <v>165.6</v>
      </c>
    </row>
    <row r="471" spans="1:4">
      <c r="A471" s="20">
        <v>469</v>
      </c>
      <c r="B471" s="34">
        <f t="shared" si="3"/>
        <v>13.633333333333333</v>
      </c>
      <c r="C471" s="5">
        <v>2</v>
      </c>
      <c r="D471" s="5">
        <f t="shared" si="2"/>
        <v>169.05</v>
      </c>
    </row>
    <row r="472" spans="1:4">
      <c r="A472" s="20">
        <v>470</v>
      </c>
      <c r="B472" s="34">
        <f t="shared" si="3"/>
        <v>13.666666666666666</v>
      </c>
      <c r="C472" s="5">
        <v>2</v>
      </c>
      <c r="D472" s="5">
        <f t="shared" si="2"/>
        <v>172.5</v>
      </c>
    </row>
    <row r="473" spans="1:4">
      <c r="A473" s="20">
        <v>471</v>
      </c>
      <c r="B473" s="34">
        <f t="shared" si="3"/>
        <v>13.7</v>
      </c>
      <c r="C473" s="5">
        <v>2</v>
      </c>
      <c r="D473" s="5">
        <f t="shared" si="2"/>
        <v>175.95</v>
      </c>
    </row>
    <row r="474" spans="1:4">
      <c r="A474" s="20">
        <v>472</v>
      </c>
      <c r="B474" s="34">
        <f t="shared" si="3"/>
        <v>13.733333333333334</v>
      </c>
      <c r="C474" s="5">
        <v>2</v>
      </c>
      <c r="D474" s="5">
        <f t="shared" si="2"/>
        <v>179.4</v>
      </c>
    </row>
    <row r="475" spans="1:4">
      <c r="A475" s="20">
        <v>473</v>
      </c>
      <c r="B475" s="34">
        <f t="shared" si="3"/>
        <v>13.766666666666666</v>
      </c>
      <c r="C475" s="5">
        <v>2</v>
      </c>
      <c r="D475" s="5">
        <f t="shared" si="2"/>
        <v>182.85</v>
      </c>
    </row>
    <row r="476" spans="1:4">
      <c r="A476" s="20">
        <v>474</v>
      </c>
      <c r="B476" s="34">
        <f t="shared" si="3"/>
        <v>13.8</v>
      </c>
      <c r="C476" s="5">
        <v>2</v>
      </c>
      <c r="D476" s="5">
        <f t="shared" si="2"/>
        <v>186.3</v>
      </c>
    </row>
    <row r="477" spans="1:4">
      <c r="A477" s="20">
        <v>475</v>
      </c>
      <c r="B477" s="34">
        <f t="shared" si="3"/>
        <v>13.833333333333334</v>
      </c>
      <c r="C477" s="5">
        <v>2</v>
      </c>
      <c r="D477" s="5">
        <f t="shared" si="2"/>
        <v>189.75</v>
      </c>
    </row>
    <row r="478" spans="1:4">
      <c r="A478" s="20">
        <v>476</v>
      </c>
      <c r="B478" s="34">
        <f t="shared" si="3"/>
        <v>13.866666666666667</v>
      </c>
      <c r="C478" s="5">
        <v>2</v>
      </c>
      <c r="D478" s="5">
        <f t="shared" si="2"/>
        <v>193.2</v>
      </c>
    </row>
    <row r="479" spans="1:4">
      <c r="A479" s="20">
        <v>477</v>
      </c>
      <c r="B479" s="34">
        <f t="shared" si="3"/>
        <v>13.9</v>
      </c>
      <c r="C479" s="5">
        <v>2</v>
      </c>
      <c r="D479" s="5">
        <f t="shared" si="2"/>
        <v>196.65</v>
      </c>
    </row>
    <row r="480" spans="1:4">
      <c r="A480" s="20">
        <v>478</v>
      </c>
      <c r="B480" s="34">
        <f t="shared" si="3"/>
        <v>13.933333333333334</v>
      </c>
      <c r="C480" s="5">
        <v>2</v>
      </c>
      <c r="D480" s="5">
        <f t="shared" si="2"/>
        <v>200.1</v>
      </c>
    </row>
    <row r="481" spans="1:4">
      <c r="A481" s="20">
        <v>479</v>
      </c>
      <c r="B481" s="34">
        <f t="shared" si="3"/>
        <v>13.966666666666667</v>
      </c>
      <c r="C481" s="5">
        <v>2</v>
      </c>
      <c r="D481" s="5">
        <f t="shared" si="2"/>
        <v>203.55</v>
      </c>
    </row>
    <row r="482" spans="1:4">
      <c r="A482" s="20">
        <v>480</v>
      </c>
      <c r="B482" s="35">
        <v>14</v>
      </c>
      <c r="C482" s="5">
        <v>2</v>
      </c>
      <c r="D482" s="5">
        <v>207</v>
      </c>
    </row>
    <row r="483" spans="1:4">
      <c r="A483" s="20">
        <v>481</v>
      </c>
      <c r="B483" s="34">
        <f t="shared" si="3"/>
        <v>14.033333333333333</v>
      </c>
      <c r="C483" s="5">
        <v>2</v>
      </c>
      <c r="D483" s="34">
        <f>(A483-$A$482)*(469-207)/60+$D$482</f>
        <v>211.36666666666667</v>
      </c>
    </row>
    <row r="484" spans="1:4">
      <c r="A484" s="20">
        <v>482</v>
      </c>
      <c r="B484" s="34">
        <f t="shared" si="3"/>
        <v>14.066666666666666</v>
      </c>
      <c r="C484" s="5">
        <v>2</v>
      </c>
      <c r="D484" s="34">
        <f t="shared" ref="D484:D541" si="4">(A484-$A$482)*(469-207)/60+$D$482</f>
        <v>215.73333333333332</v>
      </c>
    </row>
    <row r="485" spans="1:4">
      <c r="A485" s="20">
        <v>483</v>
      </c>
      <c r="B485" s="34">
        <f t="shared" si="3"/>
        <v>14.1</v>
      </c>
      <c r="C485" s="5">
        <v>2</v>
      </c>
      <c r="D485" s="34">
        <f t="shared" si="4"/>
        <v>220.1</v>
      </c>
    </row>
    <row r="486" spans="1:4">
      <c r="A486" s="20">
        <v>484</v>
      </c>
      <c r="B486" s="34">
        <f t="shared" si="3"/>
        <v>14.133333333333333</v>
      </c>
      <c r="C486" s="5">
        <v>2</v>
      </c>
      <c r="D486" s="34">
        <f t="shared" si="4"/>
        <v>224.46666666666667</v>
      </c>
    </row>
    <row r="487" spans="1:4">
      <c r="A487" s="20">
        <v>485</v>
      </c>
      <c r="B487" s="34">
        <f t="shared" si="3"/>
        <v>14.166666666666666</v>
      </c>
      <c r="C487" s="5">
        <v>2</v>
      </c>
      <c r="D487" s="34">
        <f t="shared" si="4"/>
        <v>228.83333333333334</v>
      </c>
    </row>
    <row r="488" spans="1:4">
      <c r="A488" s="20">
        <v>486</v>
      </c>
      <c r="B488" s="34">
        <f t="shared" si="3"/>
        <v>14.2</v>
      </c>
      <c r="C488" s="5">
        <v>2</v>
      </c>
      <c r="D488" s="34">
        <f t="shared" si="4"/>
        <v>233.2</v>
      </c>
    </row>
    <row r="489" spans="1:4">
      <c r="A489" s="20">
        <v>487</v>
      </c>
      <c r="B489" s="34">
        <f t="shared" ref="B489:B552" si="5">(A489-$A$422)*2/60+$B$422</f>
        <v>14.233333333333334</v>
      </c>
      <c r="C489" s="5">
        <v>2</v>
      </c>
      <c r="D489" s="34">
        <f t="shared" si="4"/>
        <v>237.56666666666666</v>
      </c>
    </row>
    <row r="490" spans="1:4">
      <c r="A490" s="20">
        <v>488</v>
      </c>
      <c r="B490" s="34">
        <f t="shared" si="5"/>
        <v>14.266666666666666</v>
      </c>
      <c r="C490" s="5">
        <v>2</v>
      </c>
      <c r="D490" s="34">
        <f t="shared" si="4"/>
        <v>241.93333333333334</v>
      </c>
    </row>
    <row r="491" spans="1:4">
      <c r="A491" s="20">
        <v>489</v>
      </c>
      <c r="B491" s="34">
        <f t="shared" si="5"/>
        <v>14.3</v>
      </c>
      <c r="C491" s="5">
        <v>2</v>
      </c>
      <c r="D491" s="34">
        <f t="shared" si="4"/>
        <v>246.3</v>
      </c>
    </row>
    <row r="492" spans="1:4">
      <c r="A492" s="20">
        <v>490</v>
      </c>
      <c r="B492" s="34">
        <f t="shared" si="5"/>
        <v>14.333333333333334</v>
      </c>
      <c r="C492" s="5">
        <v>2</v>
      </c>
      <c r="D492" s="34">
        <f t="shared" si="4"/>
        <v>250.66666666666666</v>
      </c>
    </row>
    <row r="493" spans="1:4">
      <c r="A493" s="20">
        <v>491</v>
      </c>
      <c r="B493" s="34">
        <f t="shared" si="5"/>
        <v>14.366666666666667</v>
      </c>
      <c r="C493" s="5">
        <v>2</v>
      </c>
      <c r="D493" s="34">
        <f t="shared" si="4"/>
        <v>255.03333333333333</v>
      </c>
    </row>
    <row r="494" spans="1:4">
      <c r="A494" s="20">
        <v>492</v>
      </c>
      <c r="B494" s="34">
        <f t="shared" si="5"/>
        <v>14.4</v>
      </c>
      <c r="C494" s="5">
        <v>2</v>
      </c>
      <c r="D494" s="34">
        <f t="shared" si="4"/>
        <v>259.39999999999998</v>
      </c>
    </row>
    <row r="495" spans="1:4">
      <c r="A495" s="20">
        <v>493</v>
      </c>
      <c r="B495" s="34">
        <f t="shared" si="5"/>
        <v>14.433333333333334</v>
      </c>
      <c r="C495" s="5">
        <v>2</v>
      </c>
      <c r="D495" s="34">
        <f t="shared" si="4"/>
        <v>263.76666666666665</v>
      </c>
    </row>
    <row r="496" spans="1:4">
      <c r="A496" s="20">
        <v>494</v>
      </c>
      <c r="B496" s="34">
        <f t="shared" si="5"/>
        <v>14.466666666666667</v>
      </c>
      <c r="C496" s="5">
        <v>2</v>
      </c>
      <c r="D496" s="34">
        <f t="shared" si="4"/>
        <v>268.13333333333333</v>
      </c>
    </row>
    <row r="497" spans="1:4">
      <c r="A497" s="20">
        <v>495</v>
      </c>
      <c r="B497" s="34">
        <f t="shared" si="5"/>
        <v>14.5</v>
      </c>
      <c r="C497" s="5">
        <v>2</v>
      </c>
      <c r="D497" s="34">
        <f t="shared" si="4"/>
        <v>272.5</v>
      </c>
    </row>
    <row r="498" spans="1:4">
      <c r="A498" s="20">
        <v>496</v>
      </c>
      <c r="B498" s="34">
        <f t="shared" si="5"/>
        <v>14.533333333333333</v>
      </c>
      <c r="C498" s="5">
        <v>2</v>
      </c>
      <c r="D498" s="34">
        <f t="shared" si="4"/>
        <v>276.86666666666667</v>
      </c>
    </row>
    <row r="499" spans="1:4">
      <c r="A499" s="20">
        <v>497</v>
      </c>
      <c r="B499" s="34">
        <f t="shared" si="5"/>
        <v>14.566666666666666</v>
      </c>
      <c r="C499" s="5">
        <v>2</v>
      </c>
      <c r="D499" s="34">
        <f t="shared" si="4"/>
        <v>281.23333333333335</v>
      </c>
    </row>
    <row r="500" spans="1:4">
      <c r="A500" s="20">
        <v>498</v>
      </c>
      <c r="B500" s="34">
        <f t="shared" si="5"/>
        <v>14.6</v>
      </c>
      <c r="C500" s="5">
        <v>2</v>
      </c>
      <c r="D500" s="34">
        <f t="shared" si="4"/>
        <v>285.60000000000002</v>
      </c>
    </row>
    <row r="501" spans="1:4">
      <c r="A501" s="20">
        <v>499</v>
      </c>
      <c r="B501" s="34">
        <f t="shared" si="5"/>
        <v>14.633333333333333</v>
      </c>
      <c r="C501" s="5">
        <v>2</v>
      </c>
      <c r="D501" s="34">
        <f t="shared" si="4"/>
        <v>289.9666666666667</v>
      </c>
    </row>
    <row r="502" spans="1:4">
      <c r="A502" s="20">
        <v>500</v>
      </c>
      <c r="B502" s="34">
        <f t="shared" si="5"/>
        <v>14.666666666666666</v>
      </c>
      <c r="C502" s="5">
        <v>2</v>
      </c>
      <c r="D502" s="34">
        <f t="shared" si="4"/>
        <v>294.33333333333331</v>
      </c>
    </row>
    <row r="503" spans="1:4">
      <c r="A503" s="20">
        <v>501</v>
      </c>
      <c r="B503" s="34">
        <f t="shared" si="5"/>
        <v>14.7</v>
      </c>
      <c r="C503" s="5">
        <v>2</v>
      </c>
      <c r="D503" s="34">
        <f t="shared" si="4"/>
        <v>298.7</v>
      </c>
    </row>
    <row r="504" spans="1:4">
      <c r="A504" s="20">
        <v>502</v>
      </c>
      <c r="B504" s="34">
        <f t="shared" si="5"/>
        <v>14.733333333333334</v>
      </c>
      <c r="C504" s="5">
        <v>2</v>
      </c>
      <c r="D504" s="34">
        <f t="shared" si="4"/>
        <v>303.06666666666666</v>
      </c>
    </row>
    <row r="505" spans="1:4">
      <c r="A505" s="20">
        <v>503</v>
      </c>
      <c r="B505" s="34">
        <f t="shared" si="5"/>
        <v>14.766666666666666</v>
      </c>
      <c r="C505" s="5">
        <v>2</v>
      </c>
      <c r="D505" s="34">
        <f t="shared" si="4"/>
        <v>307.43333333333334</v>
      </c>
    </row>
    <row r="506" spans="1:4">
      <c r="A506" s="20">
        <v>504</v>
      </c>
      <c r="B506" s="34">
        <f t="shared" si="5"/>
        <v>14.8</v>
      </c>
      <c r="C506" s="5">
        <v>2</v>
      </c>
      <c r="D506" s="34">
        <f t="shared" si="4"/>
        <v>311.8</v>
      </c>
    </row>
    <row r="507" spans="1:4">
      <c r="A507" s="20">
        <v>505</v>
      </c>
      <c r="B507" s="34">
        <f t="shared" si="5"/>
        <v>14.833333333333334</v>
      </c>
      <c r="C507" s="5">
        <v>2</v>
      </c>
      <c r="D507" s="34">
        <f t="shared" si="4"/>
        <v>316.16666666666669</v>
      </c>
    </row>
    <row r="508" spans="1:4">
      <c r="A508" s="20">
        <v>506</v>
      </c>
      <c r="B508" s="34">
        <f t="shared" si="5"/>
        <v>14.866666666666667</v>
      </c>
      <c r="C508" s="5">
        <v>2</v>
      </c>
      <c r="D508" s="34">
        <f t="shared" si="4"/>
        <v>320.5333333333333</v>
      </c>
    </row>
    <row r="509" spans="1:4">
      <c r="A509" s="20">
        <v>507</v>
      </c>
      <c r="B509" s="34">
        <f t="shared" si="5"/>
        <v>14.9</v>
      </c>
      <c r="C509" s="5">
        <v>2</v>
      </c>
      <c r="D509" s="34">
        <f t="shared" si="4"/>
        <v>324.89999999999998</v>
      </c>
    </row>
    <row r="510" spans="1:4">
      <c r="A510" s="20">
        <v>508</v>
      </c>
      <c r="B510" s="34">
        <f t="shared" si="5"/>
        <v>14.933333333333334</v>
      </c>
      <c r="C510" s="5">
        <v>2</v>
      </c>
      <c r="D510" s="34">
        <f t="shared" si="4"/>
        <v>329.26666666666665</v>
      </c>
    </row>
    <row r="511" spans="1:4">
      <c r="A511" s="20">
        <v>509</v>
      </c>
      <c r="B511" s="34">
        <f t="shared" si="5"/>
        <v>14.966666666666667</v>
      </c>
      <c r="C511" s="5">
        <v>2</v>
      </c>
      <c r="D511" s="34">
        <f t="shared" si="4"/>
        <v>333.63333333333333</v>
      </c>
    </row>
    <row r="512" spans="1:4">
      <c r="A512" s="20">
        <v>510</v>
      </c>
      <c r="B512" s="34">
        <f t="shared" si="5"/>
        <v>15</v>
      </c>
      <c r="C512" s="5">
        <v>2</v>
      </c>
      <c r="D512" s="34">
        <f t="shared" si="4"/>
        <v>338</v>
      </c>
    </row>
    <row r="513" spans="1:4">
      <c r="A513" s="20">
        <v>511</v>
      </c>
      <c r="B513" s="34">
        <f t="shared" si="5"/>
        <v>15.033333333333333</v>
      </c>
      <c r="C513" s="5">
        <v>2</v>
      </c>
      <c r="D513" s="34">
        <f t="shared" si="4"/>
        <v>342.36666666666667</v>
      </c>
    </row>
    <row r="514" spans="1:4">
      <c r="A514" s="20">
        <v>512</v>
      </c>
      <c r="B514" s="34">
        <f t="shared" si="5"/>
        <v>15.066666666666666</v>
      </c>
      <c r="C514" s="5">
        <v>2</v>
      </c>
      <c r="D514" s="34">
        <f t="shared" si="4"/>
        <v>346.73333333333335</v>
      </c>
    </row>
    <row r="515" spans="1:4">
      <c r="A515" s="20">
        <v>513</v>
      </c>
      <c r="B515" s="34">
        <f t="shared" si="5"/>
        <v>15.1</v>
      </c>
      <c r="C515" s="5">
        <v>2</v>
      </c>
      <c r="D515" s="34">
        <f t="shared" si="4"/>
        <v>351.1</v>
      </c>
    </row>
    <row r="516" spans="1:4">
      <c r="A516" s="20">
        <v>514</v>
      </c>
      <c r="B516" s="34">
        <f t="shared" si="5"/>
        <v>15.133333333333333</v>
      </c>
      <c r="C516" s="5">
        <v>2</v>
      </c>
      <c r="D516" s="34">
        <f t="shared" si="4"/>
        <v>355.4666666666667</v>
      </c>
    </row>
    <row r="517" spans="1:4">
      <c r="A517" s="20">
        <v>515</v>
      </c>
      <c r="B517" s="34">
        <f t="shared" si="5"/>
        <v>15.166666666666666</v>
      </c>
      <c r="C517" s="5">
        <v>2</v>
      </c>
      <c r="D517" s="34">
        <f t="shared" si="4"/>
        <v>359.83333333333337</v>
      </c>
    </row>
    <row r="518" spans="1:4">
      <c r="A518" s="20">
        <v>516</v>
      </c>
      <c r="B518" s="34">
        <f t="shared" si="5"/>
        <v>15.2</v>
      </c>
      <c r="C518" s="5">
        <v>2</v>
      </c>
      <c r="D518" s="34">
        <f t="shared" si="4"/>
        <v>364.2</v>
      </c>
    </row>
    <row r="519" spans="1:4">
      <c r="A519" s="20">
        <v>517</v>
      </c>
      <c r="B519" s="34">
        <f t="shared" si="5"/>
        <v>15.233333333333334</v>
      </c>
      <c r="C519" s="5">
        <v>2</v>
      </c>
      <c r="D519" s="34">
        <f t="shared" si="4"/>
        <v>368.56666666666666</v>
      </c>
    </row>
    <row r="520" spans="1:4">
      <c r="A520" s="20">
        <v>518</v>
      </c>
      <c r="B520" s="34">
        <f t="shared" si="5"/>
        <v>15.266666666666666</v>
      </c>
      <c r="C520" s="5">
        <v>2</v>
      </c>
      <c r="D520" s="34">
        <f t="shared" si="4"/>
        <v>372.93333333333334</v>
      </c>
    </row>
    <row r="521" spans="1:4">
      <c r="A521" s="20">
        <v>519</v>
      </c>
      <c r="B521" s="34">
        <f t="shared" si="5"/>
        <v>15.3</v>
      </c>
      <c r="C521" s="5">
        <v>2</v>
      </c>
      <c r="D521" s="34">
        <f t="shared" si="4"/>
        <v>377.3</v>
      </c>
    </row>
    <row r="522" spans="1:4">
      <c r="A522" s="20">
        <v>520</v>
      </c>
      <c r="B522" s="34">
        <f t="shared" si="5"/>
        <v>15.333333333333334</v>
      </c>
      <c r="C522" s="5">
        <v>2</v>
      </c>
      <c r="D522" s="34">
        <f t="shared" si="4"/>
        <v>381.66666666666663</v>
      </c>
    </row>
    <row r="523" spans="1:4">
      <c r="A523" s="20">
        <v>521</v>
      </c>
      <c r="B523" s="34">
        <f t="shared" si="5"/>
        <v>15.366666666666667</v>
      </c>
      <c r="C523" s="5">
        <v>2</v>
      </c>
      <c r="D523" s="34">
        <f t="shared" si="4"/>
        <v>386.0333333333333</v>
      </c>
    </row>
    <row r="524" spans="1:4">
      <c r="A524" s="20">
        <v>522</v>
      </c>
      <c r="B524" s="34">
        <f t="shared" si="5"/>
        <v>15.4</v>
      </c>
      <c r="C524" s="5">
        <v>2</v>
      </c>
      <c r="D524" s="34">
        <f t="shared" si="4"/>
        <v>390.4</v>
      </c>
    </row>
    <row r="525" spans="1:4">
      <c r="A525" s="20">
        <v>523</v>
      </c>
      <c r="B525" s="34">
        <f t="shared" si="5"/>
        <v>15.433333333333334</v>
      </c>
      <c r="C525" s="5">
        <v>2</v>
      </c>
      <c r="D525" s="34">
        <f t="shared" si="4"/>
        <v>394.76666666666665</v>
      </c>
    </row>
    <row r="526" spans="1:4">
      <c r="A526" s="20">
        <v>524</v>
      </c>
      <c r="B526" s="34">
        <f t="shared" si="5"/>
        <v>15.466666666666667</v>
      </c>
      <c r="C526" s="5">
        <v>2</v>
      </c>
      <c r="D526" s="34">
        <f t="shared" si="4"/>
        <v>399.13333333333333</v>
      </c>
    </row>
    <row r="527" spans="1:4">
      <c r="A527" s="20">
        <v>525</v>
      </c>
      <c r="B527" s="34">
        <f t="shared" si="5"/>
        <v>15.5</v>
      </c>
      <c r="C527" s="5">
        <v>2</v>
      </c>
      <c r="D527" s="34">
        <f t="shared" si="4"/>
        <v>403.5</v>
      </c>
    </row>
    <row r="528" spans="1:4">
      <c r="A528" s="20">
        <v>526</v>
      </c>
      <c r="B528" s="34">
        <f t="shared" si="5"/>
        <v>15.533333333333333</v>
      </c>
      <c r="C528" s="5">
        <v>2</v>
      </c>
      <c r="D528" s="34">
        <f t="shared" si="4"/>
        <v>407.86666666666667</v>
      </c>
    </row>
    <row r="529" spans="1:4">
      <c r="A529" s="20">
        <v>527</v>
      </c>
      <c r="B529" s="34">
        <f t="shared" si="5"/>
        <v>15.566666666666666</v>
      </c>
      <c r="C529" s="5">
        <v>2</v>
      </c>
      <c r="D529" s="34">
        <f t="shared" si="4"/>
        <v>412.23333333333335</v>
      </c>
    </row>
    <row r="530" spans="1:4">
      <c r="A530" s="20">
        <v>528</v>
      </c>
      <c r="B530" s="34">
        <f t="shared" si="5"/>
        <v>15.6</v>
      </c>
      <c r="C530" s="5">
        <v>2</v>
      </c>
      <c r="D530" s="34">
        <f t="shared" si="4"/>
        <v>416.6</v>
      </c>
    </row>
    <row r="531" spans="1:4">
      <c r="A531" s="20">
        <v>529</v>
      </c>
      <c r="B531" s="34">
        <f t="shared" si="5"/>
        <v>15.633333333333333</v>
      </c>
      <c r="C531" s="5">
        <v>2</v>
      </c>
      <c r="D531" s="34">
        <f t="shared" si="4"/>
        <v>420.9666666666667</v>
      </c>
    </row>
    <row r="532" spans="1:4">
      <c r="A532" s="20">
        <v>530</v>
      </c>
      <c r="B532" s="34">
        <f t="shared" si="5"/>
        <v>15.666666666666666</v>
      </c>
      <c r="C532" s="5">
        <v>2</v>
      </c>
      <c r="D532" s="34">
        <f t="shared" si="4"/>
        <v>425.33333333333337</v>
      </c>
    </row>
    <row r="533" spans="1:4">
      <c r="A533" s="20">
        <v>531</v>
      </c>
      <c r="B533" s="34">
        <f t="shared" si="5"/>
        <v>15.7</v>
      </c>
      <c r="C533" s="5">
        <v>2</v>
      </c>
      <c r="D533" s="34">
        <f t="shared" si="4"/>
        <v>429.7</v>
      </c>
    </row>
    <row r="534" spans="1:4">
      <c r="A534" s="20">
        <v>532</v>
      </c>
      <c r="B534" s="34">
        <f t="shared" si="5"/>
        <v>15.733333333333334</v>
      </c>
      <c r="C534" s="5">
        <v>2</v>
      </c>
      <c r="D534" s="34">
        <f t="shared" si="4"/>
        <v>434.06666666666666</v>
      </c>
    </row>
    <row r="535" spans="1:4">
      <c r="A535" s="20">
        <v>533</v>
      </c>
      <c r="B535" s="34">
        <f t="shared" si="5"/>
        <v>15.766666666666666</v>
      </c>
      <c r="C535" s="5">
        <v>2</v>
      </c>
      <c r="D535" s="34">
        <f t="shared" si="4"/>
        <v>438.43333333333334</v>
      </c>
    </row>
    <row r="536" spans="1:4">
      <c r="A536" s="20">
        <v>534</v>
      </c>
      <c r="B536" s="34">
        <f t="shared" si="5"/>
        <v>15.8</v>
      </c>
      <c r="C536" s="5">
        <v>2</v>
      </c>
      <c r="D536" s="34">
        <f t="shared" si="4"/>
        <v>442.8</v>
      </c>
    </row>
    <row r="537" spans="1:4">
      <c r="A537" s="20">
        <v>535</v>
      </c>
      <c r="B537" s="34">
        <f t="shared" si="5"/>
        <v>15.833333333333334</v>
      </c>
      <c r="C537" s="5">
        <v>2</v>
      </c>
      <c r="D537" s="34">
        <f t="shared" si="4"/>
        <v>447.16666666666663</v>
      </c>
    </row>
    <row r="538" spans="1:4">
      <c r="A538" s="20">
        <v>536</v>
      </c>
      <c r="B538" s="34">
        <f t="shared" si="5"/>
        <v>15.866666666666667</v>
      </c>
      <c r="C538" s="5">
        <v>2</v>
      </c>
      <c r="D538" s="34">
        <f t="shared" si="4"/>
        <v>451.5333333333333</v>
      </c>
    </row>
    <row r="539" spans="1:4">
      <c r="A539" s="20">
        <v>537</v>
      </c>
      <c r="B539" s="34">
        <f t="shared" si="5"/>
        <v>15.9</v>
      </c>
      <c r="C539" s="5">
        <v>2</v>
      </c>
      <c r="D539" s="34">
        <f t="shared" si="4"/>
        <v>455.9</v>
      </c>
    </row>
    <row r="540" spans="1:4">
      <c r="A540" s="20">
        <v>538</v>
      </c>
      <c r="B540" s="34">
        <f t="shared" si="5"/>
        <v>15.933333333333334</v>
      </c>
      <c r="C540" s="5">
        <v>2</v>
      </c>
      <c r="D540" s="34">
        <f t="shared" si="4"/>
        <v>460.26666666666665</v>
      </c>
    </row>
    <row r="541" spans="1:4">
      <c r="A541" s="20">
        <v>539</v>
      </c>
      <c r="B541" s="34">
        <f t="shared" si="5"/>
        <v>15.966666666666667</v>
      </c>
      <c r="C541" s="5">
        <v>2</v>
      </c>
      <c r="D541" s="34">
        <f t="shared" si="4"/>
        <v>464.63333333333333</v>
      </c>
    </row>
    <row r="542" spans="1:4">
      <c r="A542" s="20">
        <v>540</v>
      </c>
      <c r="B542" s="35">
        <v>16</v>
      </c>
      <c r="C542" s="5">
        <v>2</v>
      </c>
      <c r="D542" s="5">
        <v>469</v>
      </c>
    </row>
    <row r="543" spans="1:4">
      <c r="A543" s="20">
        <v>541</v>
      </c>
      <c r="B543" s="34">
        <f t="shared" si="5"/>
        <v>16.033333333333331</v>
      </c>
      <c r="C543" s="34">
        <f>(A543-$A$542)/60+2</f>
        <v>2.0166666666666666</v>
      </c>
      <c r="D543" s="34">
        <f>(A543-$A$542)*(689-469)/60+$D$542</f>
        <v>472.66666666666669</v>
      </c>
    </row>
    <row r="544" spans="1:4">
      <c r="A544" s="20">
        <v>542</v>
      </c>
      <c r="B544" s="34">
        <f t="shared" si="5"/>
        <v>16.066666666666666</v>
      </c>
      <c r="C544" s="34">
        <f t="shared" ref="C544:C607" si="6">(A544-$A$542)/60+2</f>
        <v>2.0333333333333332</v>
      </c>
      <c r="D544" s="34">
        <f t="shared" ref="D544:D601" si="7">(A544-$A$542)*(689-469)/60+$D$542</f>
        <v>476.33333333333331</v>
      </c>
    </row>
    <row r="545" spans="1:4">
      <c r="A545" s="20">
        <v>543</v>
      </c>
      <c r="B545" s="34">
        <f t="shared" si="5"/>
        <v>16.100000000000001</v>
      </c>
      <c r="C545" s="34">
        <f t="shared" si="6"/>
        <v>2.0499999999999998</v>
      </c>
      <c r="D545" s="34">
        <f t="shared" si="7"/>
        <v>480</v>
      </c>
    </row>
    <row r="546" spans="1:4">
      <c r="A546" s="20">
        <v>544</v>
      </c>
      <c r="B546" s="34">
        <f t="shared" si="5"/>
        <v>16.133333333333333</v>
      </c>
      <c r="C546" s="34">
        <f t="shared" si="6"/>
        <v>2.0666666666666669</v>
      </c>
      <c r="D546" s="34">
        <f t="shared" si="7"/>
        <v>483.66666666666669</v>
      </c>
    </row>
    <row r="547" spans="1:4">
      <c r="A547" s="20">
        <v>545</v>
      </c>
      <c r="B547" s="34">
        <f t="shared" si="5"/>
        <v>16.166666666666668</v>
      </c>
      <c r="C547" s="34">
        <f t="shared" si="6"/>
        <v>2.0833333333333335</v>
      </c>
      <c r="D547" s="34">
        <f t="shared" si="7"/>
        <v>487.33333333333331</v>
      </c>
    </row>
    <row r="548" spans="1:4">
      <c r="A548" s="20">
        <v>546</v>
      </c>
      <c r="B548" s="34">
        <f t="shared" si="5"/>
        <v>16.2</v>
      </c>
      <c r="C548" s="34">
        <f t="shared" si="6"/>
        <v>2.1</v>
      </c>
      <c r="D548" s="34">
        <f t="shared" si="7"/>
        <v>491</v>
      </c>
    </row>
    <row r="549" spans="1:4">
      <c r="A549" s="20">
        <v>547</v>
      </c>
      <c r="B549" s="34">
        <f t="shared" si="5"/>
        <v>16.233333333333334</v>
      </c>
      <c r="C549" s="34">
        <f t="shared" si="6"/>
        <v>2.1166666666666667</v>
      </c>
      <c r="D549" s="34">
        <f t="shared" si="7"/>
        <v>494.66666666666669</v>
      </c>
    </row>
    <row r="550" spans="1:4">
      <c r="A550" s="20">
        <v>548</v>
      </c>
      <c r="B550" s="34">
        <f t="shared" si="5"/>
        <v>16.266666666666666</v>
      </c>
      <c r="C550" s="34">
        <f t="shared" si="6"/>
        <v>2.1333333333333333</v>
      </c>
      <c r="D550" s="34">
        <f t="shared" si="7"/>
        <v>498.33333333333331</v>
      </c>
    </row>
    <row r="551" spans="1:4">
      <c r="A551" s="20">
        <v>549</v>
      </c>
      <c r="B551" s="34">
        <f t="shared" si="5"/>
        <v>16.3</v>
      </c>
      <c r="C551" s="34">
        <f t="shared" si="6"/>
        <v>2.15</v>
      </c>
      <c r="D551" s="34">
        <f t="shared" si="7"/>
        <v>502</v>
      </c>
    </row>
    <row r="552" spans="1:4">
      <c r="A552" s="20">
        <v>550</v>
      </c>
      <c r="B552" s="34">
        <f t="shared" si="5"/>
        <v>16.333333333333332</v>
      </c>
      <c r="C552" s="34">
        <f t="shared" si="6"/>
        <v>2.1666666666666665</v>
      </c>
      <c r="D552" s="34">
        <f t="shared" si="7"/>
        <v>505.66666666666669</v>
      </c>
    </row>
    <row r="553" spans="1:4">
      <c r="A553" s="20">
        <v>551</v>
      </c>
      <c r="B553" s="34">
        <f t="shared" ref="B553:B616" si="8">(A553-$A$422)*2/60+$B$422</f>
        <v>16.366666666666667</v>
      </c>
      <c r="C553" s="34">
        <f t="shared" si="6"/>
        <v>2.1833333333333331</v>
      </c>
      <c r="D553" s="34">
        <f t="shared" si="7"/>
        <v>509.33333333333331</v>
      </c>
    </row>
    <row r="554" spans="1:4">
      <c r="A554" s="20">
        <v>552</v>
      </c>
      <c r="B554" s="34">
        <f t="shared" si="8"/>
        <v>16.399999999999999</v>
      </c>
      <c r="C554" s="34">
        <f t="shared" si="6"/>
        <v>2.2000000000000002</v>
      </c>
      <c r="D554" s="34">
        <f t="shared" si="7"/>
        <v>513</v>
      </c>
    </row>
    <row r="555" spans="1:4">
      <c r="A555" s="20">
        <v>553</v>
      </c>
      <c r="B555" s="34">
        <f t="shared" si="8"/>
        <v>16.433333333333334</v>
      </c>
      <c r="C555" s="34">
        <f t="shared" si="6"/>
        <v>2.2166666666666668</v>
      </c>
      <c r="D555" s="34">
        <f t="shared" si="7"/>
        <v>516.66666666666663</v>
      </c>
    </row>
    <row r="556" spans="1:4">
      <c r="A556" s="20">
        <v>554</v>
      </c>
      <c r="B556" s="34">
        <f t="shared" si="8"/>
        <v>16.466666666666669</v>
      </c>
      <c r="C556" s="34">
        <f t="shared" si="6"/>
        <v>2.2333333333333334</v>
      </c>
      <c r="D556" s="34">
        <f t="shared" si="7"/>
        <v>520.33333333333337</v>
      </c>
    </row>
    <row r="557" spans="1:4">
      <c r="A557" s="20">
        <v>555</v>
      </c>
      <c r="B557" s="34">
        <f t="shared" si="8"/>
        <v>16.5</v>
      </c>
      <c r="C557" s="34">
        <f t="shared" si="6"/>
        <v>2.25</v>
      </c>
      <c r="D557" s="34">
        <f t="shared" si="7"/>
        <v>524</v>
      </c>
    </row>
    <row r="558" spans="1:4">
      <c r="A558" s="20">
        <v>556</v>
      </c>
      <c r="B558" s="34">
        <f t="shared" si="8"/>
        <v>16.533333333333331</v>
      </c>
      <c r="C558" s="34">
        <f t="shared" si="6"/>
        <v>2.2666666666666666</v>
      </c>
      <c r="D558" s="34">
        <f t="shared" si="7"/>
        <v>527.66666666666663</v>
      </c>
    </row>
    <row r="559" spans="1:4">
      <c r="A559" s="20">
        <v>557</v>
      </c>
      <c r="B559" s="34">
        <f t="shared" si="8"/>
        <v>16.566666666666666</v>
      </c>
      <c r="C559" s="34">
        <f t="shared" si="6"/>
        <v>2.2833333333333332</v>
      </c>
      <c r="D559" s="34">
        <f t="shared" si="7"/>
        <v>531.33333333333337</v>
      </c>
    </row>
    <row r="560" spans="1:4">
      <c r="A560" s="20">
        <v>558</v>
      </c>
      <c r="B560" s="34">
        <f t="shared" si="8"/>
        <v>16.600000000000001</v>
      </c>
      <c r="C560" s="34">
        <f t="shared" si="6"/>
        <v>2.2999999999999998</v>
      </c>
      <c r="D560" s="34">
        <f t="shared" si="7"/>
        <v>535</v>
      </c>
    </row>
    <row r="561" spans="1:4">
      <c r="A561" s="20">
        <v>559</v>
      </c>
      <c r="B561" s="34">
        <f t="shared" si="8"/>
        <v>16.633333333333333</v>
      </c>
      <c r="C561" s="34">
        <f t="shared" si="6"/>
        <v>2.3166666666666664</v>
      </c>
      <c r="D561" s="34">
        <f t="shared" si="7"/>
        <v>538.66666666666663</v>
      </c>
    </row>
    <row r="562" spans="1:4">
      <c r="A562" s="20">
        <v>560</v>
      </c>
      <c r="B562" s="34">
        <f t="shared" si="8"/>
        <v>16.666666666666668</v>
      </c>
      <c r="C562" s="34">
        <f t="shared" si="6"/>
        <v>2.3333333333333335</v>
      </c>
      <c r="D562" s="34">
        <f t="shared" si="7"/>
        <v>542.33333333333337</v>
      </c>
    </row>
    <row r="563" spans="1:4">
      <c r="A563" s="20">
        <v>561</v>
      </c>
      <c r="B563" s="34">
        <f t="shared" si="8"/>
        <v>16.7</v>
      </c>
      <c r="C563" s="34">
        <f t="shared" si="6"/>
        <v>2.35</v>
      </c>
      <c r="D563" s="34">
        <f t="shared" si="7"/>
        <v>546</v>
      </c>
    </row>
    <row r="564" spans="1:4">
      <c r="A564" s="20">
        <v>562</v>
      </c>
      <c r="B564" s="34">
        <f t="shared" si="8"/>
        <v>16.733333333333334</v>
      </c>
      <c r="C564" s="34">
        <f t="shared" si="6"/>
        <v>2.3666666666666667</v>
      </c>
      <c r="D564" s="34">
        <f t="shared" si="7"/>
        <v>549.66666666666663</v>
      </c>
    </row>
    <row r="565" spans="1:4">
      <c r="A565" s="20">
        <v>563</v>
      </c>
      <c r="B565" s="34">
        <f t="shared" si="8"/>
        <v>16.766666666666666</v>
      </c>
      <c r="C565" s="34">
        <f t="shared" si="6"/>
        <v>2.3833333333333333</v>
      </c>
      <c r="D565" s="34">
        <f t="shared" si="7"/>
        <v>553.33333333333337</v>
      </c>
    </row>
    <row r="566" spans="1:4">
      <c r="A566" s="20">
        <v>564</v>
      </c>
      <c r="B566" s="34">
        <f t="shared" si="8"/>
        <v>16.8</v>
      </c>
      <c r="C566" s="34">
        <f t="shared" si="6"/>
        <v>2.4</v>
      </c>
      <c r="D566" s="34">
        <f t="shared" si="7"/>
        <v>557</v>
      </c>
    </row>
    <row r="567" spans="1:4">
      <c r="A567" s="20">
        <v>565</v>
      </c>
      <c r="B567" s="34">
        <f t="shared" si="8"/>
        <v>16.833333333333332</v>
      </c>
      <c r="C567" s="34">
        <f t="shared" si="6"/>
        <v>2.4166666666666665</v>
      </c>
      <c r="D567" s="34">
        <f t="shared" si="7"/>
        <v>560.66666666666663</v>
      </c>
    </row>
    <row r="568" spans="1:4">
      <c r="A568" s="20">
        <v>566</v>
      </c>
      <c r="B568" s="34">
        <f t="shared" si="8"/>
        <v>16.866666666666667</v>
      </c>
      <c r="C568" s="34">
        <f t="shared" si="6"/>
        <v>2.4333333333333336</v>
      </c>
      <c r="D568" s="34">
        <f t="shared" si="7"/>
        <v>564.33333333333337</v>
      </c>
    </row>
    <row r="569" spans="1:4">
      <c r="A569" s="20">
        <v>567</v>
      </c>
      <c r="B569" s="34">
        <f t="shared" si="8"/>
        <v>16.899999999999999</v>
      </c>
      <c r="C569" s="34">
        <f t="shared" si="6"/>
        <v>2.4500000000000002</v>
      </c>
      <c r="D569" s="34">
        <f t="shared" si="7"/>
        <v>568</v>
      </c>
    </row>
    <row r="570" spans="1:4">
      <c r="A570" s="20">
        <v>568</v>
      </c>
      <c r="B570" s="34">
        <f t="shared" si="8"/>
        <v>16.933333333333334</v>
      </c>
      <c r="C570" s="34">
        <f t="shared" si="6"/>
        <v>2.4666666666666668</v>
      </c>
      <c r="D570" s="34">
        <f t="shared" si="7"/>
        <v>571.66666666666663</v>
      </c>
    </row>
    <row r="571" spans="1:4">
      <c r="A571" s="20">
        <v>569</v>
      </c>
      <c r="B571" s="34">
        <f t="shared" si="8"/>
        <v>16.966666666666669</v>
      </c>
      <c r="C571" s="34">
        <f t="shared" si="6"/>
        <v>2.4833333333333334</v>
      </c>
      <c r="D571" s="34">
        <f t="shared" si="7"/>
        <v>575.33333333333337</v>
      </c>
    </row>
    <row r="572" spans="1:4">
      <c r="A572" s="20">
        <v>570</v>
      </c>
      <c r="B572" s="34">
        <f t="shared" si="8"/>
        <v>17</v>
      </c>
      <c r="C572" s="34">
        <f t="shared" si="6"/>
        <v>2.5</v>
      </c>
      <c r="D572" s="34">
        <f t="shared" si="7"/>
        <v>579</v>
      </c>
    </row>
    <row r="573" spans="1:4">
      <c r="A573" s="20">
        <v>571</v>
      </c>
      <c r="B573" s="34">
        <f t="shared" si="8"/>
        <v>17.033333333333331</v>
      </c>
      <c r="C573" s="34">
        <f t="shared" si="6"/>
        <v>2.5166666666666666</v>
      </c>
      <c r="D573" s="34">
        <f t="shared" si="7"/>
        <v>582.66666666666663</v>
      </c>
    </row>
    <row r="574" spans="1:4">
      <c r="A574" s="20">
        <v>572</v>
      </c>
      <c r="B574" s="34">
        <f t="shared" si="8"/>
        <v>17.066666666666666</v>
      </c>
      <c r="C574" s="34">
        <f t="shared" si="6"/>
        <v>2.5333333333333332</v>
      </c>
      <c r="D574" s="34">
        <f t="shared" si="7"/>
        <v>586.33333333333337</v>
      </c>
    </row>
    <row r="575" spans="1:4">
      <c r="A575" s="20">
        <v>573</v>
      </c>
      <c r="B575" s="34">
        <f t="shared" si="8"/>
        <v>17.100000000000001</v>
      </c>
      <c r="C575" s="34">
        <f t="shared" si="6"/>
        <v>2.5499999999999998</v>
      </c>
      <c r="D575" s="34">
        <f t="shared" si="7"/>
        <v>590</v>
      </c>
    </row>
    <row r="576" spans="1:4">
      <c r="A576" s="20">
        <v>574</v>
      </c>
      <c r="B576" s="34">
        <f t="shared" si="8"/>
        <v>17.133333333333333</v>
      </c>
      <c r="C576" s="34">
        <f t="shared" si="6"/>
        <v>2.5666666666666664</v>
      </c>
      <c r="D576" s="34">
        <f t="shared" si="7"/>
        <v>593.66666666666663</v>
      </c>
    </row>
    <row r="577" spans="1:4">
      <c r="A577" s="20">
        <v>575</v>
      </c>
      <c r="B577" s="34">
        <f t="shared" si="8"/>
        <v>17.166666666666668</v>
      </c>
      <c r="C577" s="34">
        <f t="shared" si="6"/>
        <v>2.5833333333333335</v>
      </c>
      <c r="D577" s="34">
        <f t="shared" si="7"/>
        <v>597.33333333333337</v>
      </c>
    </row>
    <row r="578" spans="1:4">
      <c r="A578" s="20">
        <v>576</v>
      </c>
      <c r="B578" s="34">
        <f t="shared" si="8"/>
        <v>17.2</v>
      </c>
      <c r="C578" s="34">
        <f t="shared" si="6"/>
        <v>2.6</v>
      </c>
      <c r="D578" s="34">
        <f t="shared" si="7"/>
        <v>601</v>
      </c>
    </row>
    <row r="579" spans="1:4">
      <c r="A579" s="20">
        <v>577</v>
      </c>
      <c r="B579" s="34">
        <f t="shared" si="8"/>
        <v>17.233333333333334</v>
      </c>
      <c r="C579" s="34">
        <f t="shared" si="6"/>
        <v>2.6166666666666667</v>
      </c>
      <c r="D579" s="34">
        <f t="shared" si="7"/>
        <v>604.66666666666663</v>
      </c>
    </row>
    <row r="580" spans="1:4">
      <c r="A580" s="20">
        <v>578</v>
      </c>
      <c r="B580" s="34">
        <f t="shared" si="8"/>
        <v>17.266666666666666</v>
      </c>
      <c r="C580" s="34">
        <f t="shared" si="6"/>
        <v>2.6333333333333333</v>
      </c>
      <c r="D580" s="34">
        <f t="shared" si="7"/>
        <v>608.33333333333337</v>
      </c>
    </row>
    <row r="581" spans="1:4">
      <c r="A581" s="20">
        <v>579</v>
      </c>
      <c r="B581" s="34">
        <f t="shared" si="8"/>
        <v>17.3</v>
      </c>
      <c r="C581" s="34">
        <f t="shared" si="6"/>
        <v>2.65</v>
      </c>
      <c r="D581" s="34">
        <f t="shared" si="7"/>
        <v>612</v>
      </c>
    </row>
    <row r="582" spans="1:4">
      <c r="A582" s="20">
        <v>580</v>
      </c>
      <c r="B582" s="34">
        <f t="shared" si="8"/>
        <v>17.333333333333332</v>
      </c>
      <c r="C582" s="34">
        <f t="shared" si="6"/>
        <v>2.6666666666666665</v>
      </c>
      <c r="D582" s="34">
        <f t="shared" si="7"/>
        <v>615.66666666666663</v>
      </c>
    </row>
    <row r="583" spans="1:4">
      <c r="A583" s="20">
        <v>581</v>
      </c>
      <c r="B583" s="34">
        <f t="shared" si="8"/>
        <v>17.366666666666667</v>
      </c>
      <c r="C583" s="34">
        <f t="shared" si="6"/>
        <v>2.6833333333333336</v>
      </c>
      <c r="D583" s="34">
        <f t="shared" si="7"/>
        <v>619.33333333333337</v>
      </c>
    </row>
    <row r="584" spans="1:4">
      <c r="A584" s="20">
        <v>582</v>
      </c>
      <c r="B584" s="34">
        <f t="shared" si="8"/>
        <v>17.399999999999999</v>
      </c>
      <c r="C584" s="34">
        <f t="shared" si="6"/>
        <v>2.7</v>
      </c>
      <c r="D584" s="34">
        <f t="shared" si="7"/>
        <v>623</v>
      </c>
    </row>
    <row r="585" spans="1:4">
      <c r="A585" s="20">
        <v>583</v>
      </c>
      <c r="B585" s="34">
        <f t="shared" si="8"/>
        <v>17.433333333333334</v>
      </c>
      <c r="C585" s="34">
        <f t="shared" si="6"/>
        <v>2.7166666666666668</v>
      </c>
      <c r="D585" s="34">
        <f t="shared" si="7"/>
        <v>626.66666666666663</v>
      </c>
    </row>
    <row r="586" spans="1:4">
      <c r="A586" s="20">
        <v>584</v>
      </c>
      <c r="B586" s="34">
        <f t="shared" si="8"/>
        <v>17.466666666666669</v>
      </c>
      <c r="C586" s="34">
        <f t="shared" si="6"/>
        <v>2.7333333333333334</v>
      </c>
      <c r="D586" s="34">
        <f t="shared" si="7"/>
        <v>630.33333333333337</v>
      </c>
    </row>
    <row r="587" spans="1:4">
      <c r="A587" s="20">
        <v>585</v>
      </c>
      <c r="B587" s="34">
        <f t="shared" si="8"/>
        <v>17.5</v>
      </c>
      <c r="C587" s="34">
        <f t="shared" si="6"/>
        <v>2.75</v>
      </c>
      <c r="D587" s="34">
        <f t="shared" si="7"/>
        <v>634</v>
      </c>
    </row>
    <row r="588" spans="1:4">
      <c r="A588" s="20">
        <v>586</v>
      </c>
      <c r="B588" s="34">
        <f t="shared" si="8"/>
        <v>17.533333333333331</v>
      </c>
      <c r="C588" s="34">
        <f t="shared" si="6"/>
        <v>2.7666666666666666</v>
      </c>
      <c r="D588" s="34">
        <f t="shared" si="7"/>
        <v>637.66666666666663</v>
      </c>
    </row>
    <row r="589" spans="1:4">
      <c r="A589" s="20">
        <v>587</v>
      </c>
      <c r="B589" s="34">
        <f t="shared" si="8"/>
        <v>17.566666666666666</v>
      </c>
      <c r="C589" s="34">
        <f t="shared" si="6"/>
        <v>2.7833333333333332</v>
      </c>
      <c r="D589" s="34">
        <f t="shared" si="7"/>
        <v>641.33333333333337</v>
      </c>
    </row>
    <row r="590" spans="1:4">
      <c r="A590" s="20">
        <v>588</v>
      </c>
      <c r="B590" s="34">
        <f t="shared" si="8"/>
        <v>17.600000000000001</v>
      </c>
      <c r="C590" s="34">
        <f t="shared" si="6"/>
        <v>2.8</v>
      </c>
      <c r="D590" s="34">
        <f t="shared" si="7"/>
        <v>645</v>
      </c>
    </row>
    <row r="591" spans="1:4">
      <c r="A591" s="20">
        <v>589</v>
      </c>
      <c r="B591" s="34">
        <f t="shared" si="8"/>
        <v>17.633333333333333</v>
      </c>
      <c r="C591" s="34">
        <f t="shared" si="6"/>
        <v>2.8166666666666664</v>
      </c>
      <c r="D591" s="34">
        <f t="shared" si="7"/>
        <v>648.66666666666663</v>
      </c>
    </row>
    <row r="592" spans="1:4">
      <c r="A592" s="20">
        <v>590</v>
      </c>
      <c r="B592" s="34">
        <f t="shared" si="8"/>
        <v>17.666666666666668</v>
      </c>
      <c r="C592" s="34">
        <f t="shared" si="6"/>
        <v>2.8333333333333335</v>
      </c>
      <c r="D592" s="34">
        <f t="shared" si="7"/>
        <v>652.33333333333337</v>
      </c>
    </row>
    <row r="593" spans="1:4">
      <c r="A593" s="20">
        <v>591</v>
      </c>
      <c r="B593" s="34">
        <f t="shared" si="8"/>
        <v>17.7</v>
      </c>
      <c r="C593" s="34">
        <f t="shared" si="6"/>
        <v>2.85</v>
      </c>
      <c r="D593" s="34">
        <f t="shared" si="7"/>
        <v>656</v>
      </c>
    </row>
    <row r="594" spans="1:4">
      <c r="A594" s="20">
        <v>592</v>
      </c>
      <c r="B594" s="34">
        <f t="shared" si="8"/>
        <v>17.733333333333334</v>
      </c>
      <c r="C594" s="34">
        <f t="shared" si="6"/>
        <v>2.8666666666666667</v>
      </c>
      <c r="D594" s="34">
        <f t="shared" si="7"/>
        <v>659.66666666666663</v>
      </c>
    </row>
    <row r="595" spans="1:4">
      <c r="A595" s="20">
        <v>593</v>
      </c>
      <c r="B595" s="34">
        <f t="shared" si="8"/>
        <v>17.766666666666666</v>
      </c>
      <c r="C595" s="34">
        <f t="shared" si="6"/>
        <v>2.8833333333333333</v>
      </c>
      <c r="D595" s="34">
        <f t="shared" si="7"/>
        <v>663.33333333333337</v>
      </c>
    </row>
    <row r="596" spans="1:4">
      <c r="A596" s="20">
        <v>594</v>
      </c>
      <c r="B596" s="34">
        <f t="shared" si="8"/>
        <v>17.8</v>
      </c>
      <c r="C596" s="34">
        <f t="shared" si="6"/>
        <v>2.9</v>
      </c>
      <c r="D596" s="34">
        <f t="shared" si="7"/>
        <v>667</v>
      </c>
    </row>
    <row r="597" spans="1:4">
      <c r="A597" s="20">
        <v>595</v>
      </c>
      <c r="B597" s="34">
        <f t="shared" si="8"/>
        <v>17.833333333333332</v>
      </c>
      <c r="C597" s="34">
        <f t="shared" si="6"/>
        <v>2.9166666666666665</v>
      </c>
      <c r="D597" s="34">
        <f t="shared" si="7"/>
        <v>670.66666666666663</v>
      </c>
    </row>
    <row r="598" spans="1:4">
      <c r="A598" s="20">
        <v>596</v>
      </c>
      <c r="B598" s="34">
        <f t="shared" si="8"/>
        <v>17.866666666666667</v>
      </c>
      <c r="C598" s="34">
        <f t="shared" si="6"/>
        <v>2.9333333333333336</v>
      </c>
      <c r="D598" s="34">
        <f t="shared" si="7"/>
        <v>674.33333333333337</v>
      </c>
    </row>
    <row r="599" spans="1:4">
      <c r="A599" s="20">
        <v>597</v>
      </c>
      <c r="B599" s="34">
        <f t="shared" si="8"/>
        <v>17.899999999999999</v>
      </c>
      <c r="C599" s="34">
        <f t="shared" si="6"/>
        <v>2.95</v>
      </c>
      <c r="D599" s="34">
        <f t="shared" si="7"/>
        <v>678</v>
      </c>
    </row>
    <row r="600" spans="1:4">
      <c r="A600" s="20">
        <v>598</v>
      </c>
      <c r="B600" s="34">
        <f t="shared" si="8"/>
        <v>17.933333333333334</v>
      </c>
      <c r="C600" s="34">
        <f t="shared" si="6"/>
        <v>2.9666666666666668</v>
      </c>
      <c r="D600" s="34">
        <f t="shared" si="7"/>
        <v>681.66666666666663</v>
      </c>
    </row>
    <row r="601" spans="1:4">
      <c r="A601" s="20">
        <v>599</v>
      </c>
      <c r="B601" s="34">
        <f t="shared" si="8"/>
        <v>17.966666666666669</v>
      </c>
      <c r="C601" s="34">
        <f t="shared" si="6"/>
        <v>2.9833333333333334</v>
      </c>
      <c r="D601" s="34">
        <f t="shared" si="7"/>
        <v>685.33333333333337</v>
      </c>
    </row>
    <row r="602" spans="1:4">
      <c r="A602" s="20">
        <v>600</v>
      </c>
      <c r="B602" s="35">
        <f t="shared" si="8"/>
        <v>18</v>
      </c>
      <c r="C602" s="35">
        <v>3</v>
      </c>
      <c r="D602" s="5">
        <v>689</v>
      </c>
    </row>
    <row r="603" spans="1:4">
      <c r="A603" s="20">
        <v>601</v>
      </c>
      <c r="B603" s="34">
        <f t="shared" si="8"/>
        <v>18.033333333333331</v>
      </c>
      <c r="C603" s="34">
        <f t="shared" si="6"/>
        <v>3.0166666666666666</v>
      </c>
      <c r="D603" s="34">
        <f>(A603-$A$602)*(826-689)/60+689</f>
        <v>691.2833333333333</v>
      </c>
    </row>
    <row r="604" spans="1:4">
      <c r="A604" s="20">
        <v>602</v>
      </c>
      <c r="B604" s="34">
        <f t="shared" si="8"/>
        <v>18.066666666666666</v>
      </c>
      <c r="C604" s="34">
        <f t="shared" si="6"/>
        <v>3.0333333333333332</v>
      </c>
      <c r="D604" s="34">
        <f t="shared" ref="D604:D661" si="9">(A604-$A$602)*(826-689)/60+689</f>
        <v>693.56666666666672</v>
      </c>
    </row>
    <row r="605" spans="1:4">
      <c r="A605" s="20">
        <v>603</v>
      </c>
      <c r="B605" s="34">
        <f t="shared" si="8"/>
        <v>18.100000000000001</v>
      </c>
      <c r="C605" s="34">
        <f t="shared" si="6"/>
        <v>3.05</v>
      </c>
      <c r="D605" s="34">
        <f t="shared" si="9"/>
        <v>695.85</v>
      </c>
    </row>
    <row r="606" spans="1:4">
      <c r="A606" s="20">
        <v>604</v>
      </c>
      <c r="B606" s="34">
        <f t="shared" si="8"/>
        <v>18.133333333333333</v>
      </c>
      <c r="C606" s="34">
        <f t="shared" si="6"/>
        <v>3.0666666666666664</v>
      </c>
      <c r="D606" s="34">
        <f t="shared" si="9"/>
        <v>698.13333333333333</v>
      </c>
    </row>
    <row r="607" spans="1:4">
      <c r="A607" s="20">
        <v>605</v>
      </c>
      <c r="B607" s="34">
        <f t="shared" si="8"/>
        <v>18.166666666666668</v>
      </c>
      <c r="C607" s="34">
        <f t="shared" si="6"/>
        <v>3.083333333333333</v>
      </c>
      <c r="D607" s="34">
        <f t="shared" si="9"/>
        <v>700.41666666666663</v>
      </c>
    </row>
    <row r="608" spans="1:4">
      <c r="A608" s="20">
        <v>606</v>
      </c>
      <c r="B608" s="34">
        <f t="shared" si="8"/>
        <v>18.2</v>
      </c>
      <c r="C608" s="34">
        <f t="shared" ref="C608:C661" si="10">(A608-$A$542)/60+2</f>
        <v>3.1</v>
      </c>
      <c r="D608" s="34">
        <f t="shared" si="9"/>
        <v>702.7</v>
      </c>
    </row>
    <row r="609" spans="1:4">
      <c r="A609" s="20">
        <v>607</v>
      </c>
      <c r="B609" s="34">
        <f t="shared" si="8"/>
        <v>18.233333333333334</v>
      </c>
      <c r="C609" s="34">
        <f t="shared" si="10"/>
        <v>3.1166666666666667</v>
      </c>
      <c r="D609" s="34">
        <f t="shared" si="9"/>
        <v>704.98333333333335</v>
      </c>
    </row>
    <row r="610" spans="1:4">
      <c r="A610" s="20">
        <v>608</v>
      </c>
      <c r="B610" s="34">
        <f t="shared" si="8"/>
        <v>18.266666666666666</v>
      </c>
      <c r="C610" s="34">
        <f t="shared" si="10"/>
        <v>3.1333333333333333</v>
      </c>
      <c r="D610" s="34">
        <f t="shared" si="9"/>
        <v>707.26666666666665</v>
      </c>
    </row>
    <row r="611" spans="1:4">
      <c r="A611" s="20">
        <v>609</v>
      </c>
      <c r="B611" s="34">
        <f t="shared" si="8"/>
        <v>18.3</v>
      </c>
      <c r="C611" s="34">
        <f t="shared" si="10"/>
        <v>3.15</v>
      </c>
      <c r="D611" s="34">
        <f t="shared" si="9"/>
        <v>709.55</v>
      </c>
    </row>
    <row r="612" spans="1:4">
      <c r="A612" s="20">
        <v>610</v>
      </c>
      <c r="B612" s="34">
        <f t="shared" si="8"/>
        <v>18.333333333333332</v>
      </c>
      <c r="C612" s="34">
        <f t="shared" si="10"/>
        <v>3.166666666666667</v>
      </c>
      <c r="D612" s="34">
        <f t="shared" si="9"/>
        <v>711.83333333333337</v>
      </c>
    </row>
    <row r="613" spans="1:4">
      <c r="A613" s="20">
        <v>611</v>
      </c>
      <c r="B613" s="34">
        <f t="shared" si="8"/>
        <v>18.366666666666667</v>
      </c>
      <c r="C613" s="34">
        <f t="shared" si="10"/>
        <v>3.1833333333333336</v>
      </c>
      <c r="D613" s="34">
        <f t="shared" si="9"/>
        <v>714.11666666666667</v>
      </c>
    </row>
    <row r="614" spans="1:4">
      <c r="A614" s="20">
        <v>612</v>
      </c>
      <c r="B614" s="34">
        <f t="shared" si="8"/>
        <v>18.399999999999999</v>
      </c>
      <c r="C614" s="34">
        <f t="shared" si="10"/>
        <v>3.2</v>
      </c>
      <c r="D614" s="34">
        <f t="shared" si="9"/>
        <v>716.4</v>
      </c>
    </row>
    <row r="615" spans="1:4">
      <c r="A615" s="20">
        <v>613</v>
      </c>
      <c r="B615" s="34">
        <f t="shared" si="8"/>
        <v>18.433333333333334</v>
      </c>
      <c r="C615" s="34">
        <f t="shared" si="10"/>
        <v>3.2166666666666668</v>
      </c>
      <c r="D615" s="34">
        <f t="shared" si="9"/>
        <v>718.68333333333328</v>
      </c>
    </row>
    <row r="616" spans="1:4">
      <c r="A616" s="20">
        <v>614</v>
      </c>
      <c r="B616" s="34">
        <f t="shared" si="8"/>
        <v>18.466666666666669</v>
      </c>
      <c r="C616" s="34">
        <f t="shared" si="10"/>
        <v>3.2333333333333334</v>
      </c>
      <c r="D616" s="34">
        <f t="shared" si="9"/>
        <v>720.9666666666667</v>
      </c>
    </row>
    <row r="617" spans="1:4">
      <c r="A617" s="20">
        <v>615</v>
      </c>
      <c r="B617" s="34">
        <f t="shared" ref="B617:B680" si="11">(A617-$A$422)*2/60+$B$422</f>
        <v>18.5</v>
      </c>
      <c r="C617" s="34">
        <f t="shared" si="10"/>
        <v>3.25</v>
      </c>
      <c r="D617" s="34">
        <f t="shared" si="9"/>
        <v>723.25</v>
      </c>
    </row>
    <row r="618" spans="1:4">
      <c r="A618" s="20">
        <v>616</v>
      </c>
      <c r="B618" s="34">
        <f t="shared" si="11"/>
        <v>18.533333333333331</v>
      </c>
      <c r="C618" s="34">
        <f t="shared" si="10"/>
        <v>3.2666666666666666</v>
      </c>
      <c r="D618" s="34">
        <f t="shared" si="9"/>
        <v>725.5333333333333</v>
      </c>
    </row>
    <row r="619" spans="1:4">
      <c r="A619" s="20">
        <v>617</v>
      </c>
      <c r="B619" s="34">
        <f t="shared" si="11"/>
        <v>18.566666666666666</v>
      </c>
      <c r="C619" s="34">
        <f t="shared" si="10"/>
        <v>3.2833333333333332</v>
      </c>
      <c r="D619" s="34">
        <f t="shared" si="9"/>
        <v>727.81666666666672</v>
      </c>
    </row>
    <row r="620" spans="1:4">
      <c r="A620" s="20">
        <v>618</v>
      </c>
      <c r="B620" s="34">
        <f t="shared" si="11"/>
        <v>18.600000000000001</v>
      </c>
      <c r="C620" s="34">
        <f t="shared" si="10"/>
        <v>3.3</v>
      </c>
      <c r="D620" s="34">
        <f t="shared" si="9"/>
        <v>730.1</v>
      </c>
    </row>
    <row r="621" spans="1:4">
      <c r="A621" s="20">
        <v>619</v>
      </c>
      <c r="B621" s="34">
        <f t="shared" si="11"/>
        <v>18.633333333333333</v>
      </c>
      <c r="C621" s="34">
        <f t="shared" si="10"/>
        <v>3.3166666666666664</v>
      </c>
      <c r="D621" s="34">
        <f t="shared" si="9"/>
        <v>732.38333333333333</v>
      </c>
    </row>
    <row r="622" spans="1:4">
      <c r="A622" s="20">
        <v>620</v>
      </c>
      <c r="B622" s="34">
        <f t="shared" si="11"/>
        <v>18.666666666666668</v>
      </c>
      <c r="C622" s="34">
        <f t="shared" si="10"/>
        <v>3.333333333333333</v>
      </c>
      <c r="D622" s="34">
        <f t="shared" si="9"/>
        <v>734.66666666666663</v>
      </c>
    </row>
    <row r="623" spans="1:4">
      <c r="A623" s="20">
        <v>621</v>
      </c>
      <c r="B623" s="34">
        <f t="shared" si="11"/>
        <v>18.7</v>
      </c>
      <c r="C623" s="34">
        <f t="shared" si="10"/>
        <v>3.35</v>
      </c>
      <c r="D623" s="34">
        <f t="shared" si="9"/>
        <v>736.95</v>
      </c>
    </row>
    <row r="624" spans="1:4">
      <c r="A624" s="20">
        <v>622</v>
      </c>
      <c r="B624" s="34">
        <f t="shared" si="11"/>
        <v>18.733333333333334</v>
      </c>
      <c r="C624" s="34">
        <f t="shared" si="10"/>
        <v>3.3666666666666667</v>
      </c>
      <c r="D624" s="34">
        <f t="shared" si="9"/>
        <v>739.23333333333335</v>
      </c>
    </row>
    <row r="625" spans="1:4">
      <c r="A625" s="20">
        <v>623</v>
      </c>
      <c r="B625" s="34">
        <f t="shared" si="11"/>
        <v>18.766666666666666</v>
      </c>
      <c r="C625" s="34">
        <f t="shared" si="10"/>
        <v>3.3833333333333333</v>
      </c>
      <c r="D625" s="34">
        <f t="shared" si="9"/>
        <v>741.51666666666665</v>
      </c>
    </row>
    <row r="626" spans="1:4">
      <c r="A626" s="20">
        <v>624</v>
      </c>
      <c r="B626" s="34">
        <f t="shared" si="11"/>
        <v>18.8</v>
      </c>
      <c r="C626" s="34">
        <f t="shared" si="10"/>
        <v>3.4</v>
      </c>
      <c r="D626" s="34">
        <f t="shared" si="9"/>
        <v>743.8</v>
      </c>
    </row>
    <row r="627" spans="1:4">
      <c r="A627" s="20">
        <v>625</v>
      </c>
      <c r="B627" s="34">
        <f t="shared" si="11"/>
        <v>18.833333333333332</v>
      </c>
      <c r="C627" s="34">
        <f t="shared" si="10"/>
        <v>3.416666666666667</v>
      </c>
      <c r="D627" s="34">
        <f t="shared" si="9"/>
        <v>746.08333333333337</v>
      </c>
    </row>
    <row r="628" spans="1:4">
      <c r="A628" s="20">
        <v>626</v>
      </c>
      <c r="B628" s="34">
        <f t="shared" si="11"/>
        <v>18.866666666666667</v>
      </c>
      <c r="C628" s="34">
        <f t="shared" si="10"/>
        <v>3.4333333333333336</v>
      </c>
      <c r="D628" s="34">
        <f t="shared" si="9"/>
        <v>748.36666666666667</v>
      </c>
    </row>
    <row r="629" spans="1:4">
      <c r="A629" s="20">
        <v>627</v>
      </c>
      <c r="B629" s="34">
        <f t="shared" si="11"/>
        <v>18.899999999999999</v>
      </c>
      <c r="C629" s="34">
        <f t="shared" si="10"/>
        <v>3.45</v>
      </c>
      <c r="D629" s="34">
        <f t="shared" si="9"/>
        <v>750.65</v>
      </c>
    </row>
    <row r="630" spans="1:4">
      <c r="A630" s="20">
        <v>628</v>
      </c>
      <c r="B630" s="34">
        <f t="shared" si="11"/>
        <v>18.933333333333334</v>
      </c>
      <c r="C630" s="34">
        <f t="shared" si="10"/>
        <v>3.4666666666666668</v>
      </c>
      <c r="D630" s="34">
        <f t="shared" si="9"/>
        <v>752.93333333333328</v>
      </c>
    </row>
    <row r="631" spans="1:4">
      <c r="A631" s="20">
        <v>629</v>
      </c>
      <c r="B631" s="34">
        <f t="shared" si="11"/>
        <v>18.966666666666669</v>
      </c>
      <c r="C631" s="34">
        <f t="shared" si="10"/>
        <v>3.4833333333333334</v>
      </c>
      <c r="D631" s="34">
        <f t="shared" si="9"/>
        <v>755.2166666666667</v>
      </c>
    </row>
    <row r="632" spans="1:4">
      <c r="A632" s="20">
        <v>630</v>
      </c>
      <c r="B632" s="34">
        <f t="shared" si="11"/>
        <v>19</v>
      </c>
      <c r="C632" s="34">
        <f t="shared" si="10"/>
        <v>3.5</v>
      </c>
      <c r="D632" s="34">
        <f t="shared" si="9"/>
        <v>757.5</v>
      </c>
    </row>
    <row r="633" spans="1:4">
      <c r="A633" s="20">
        <v>631</v>
      </c>
      <c r="B633" s="34">
        <f t="shared" si="11"/>
        <v>19.033333333333331</v>
      </c>
      <c r="C633" s="34">
        <f t="shared" si="10"/>
        <v>3.5166666666666666</v>
      </c>
      <c r="D633" s="34">
        <f t="shared" si="9"/>
        <v>759.7833333333333</v>
      </c>
    </row>
    <row r="634" spans="1:4">
      <c r="A634" s="20">
        <v>632</v>
      </c>
      <c r="B634" s="34">
        <f t="shared" si="11"/>
        <v>19.066666666666666</v>
      </c>
      <c r="C634" s="34">
        <f t="shared" si="10"/>
        <v>3.5333333333333332</v>
      </c>
      <c r="D634" s="34">
        <f t="shared" si="9"/>
        <v>762.06666666666661</v>
      </c>
    </row>
    <row r="635" spans="1:4">
      <c r="A635" s="20">
        <v>633</v>
      </c>
      <c r="B635" s="34">
        <f t="shared" si="11"/>
        <v>19.100000000000001</v>
      </c>
      <c r="C635" s="34">
        <f t="shared" si="10"/>
        <v>3.55</v>
      </c>
      <c r="D635" s="34">
        <f t="shared" si="9"/>
        <v>764.35</v>
      </c>
    </row>
    <row r="636" spans="1:4">
      <c r="A636" s="20">
        <v>634</v>
      </c>
      <c r="B636" s="34">
        <f t="shared" si="11"/>
        <v>19.133333333333333</v>
      </c>
      <c r="C636" s="34">
        <f t="shared" si="10"/>
        <v>3.5666666666666664</v>
      </c>
      <c r="D636" s="34">
        <f t="shared" si="9"/>
        <v>766.63333333333333</v>
      </c>
    </row>
    <row r="637" spans="1:4">
      <c r="A637" s="20">
        <v>635</v>
      </c>
      <c r="B637" s="34">
        <f t="shared" si="11"/>
        <v>19.166666666666668</v>
      </c>
      <c r="C637" s="34">
        <f t="shared" si="10"/>
        <v>3.583333333333333</v>
      </c>
      <c r="D637" s="34">
        <f t="shared" si="9"/>
        <v>768.91666666666663</v>
      </c>
    </row>
    <row r="638" spans="1:4">
      <c r="A638" s="20">
        <v>636</v>
      </c>
      <c r="B638" s="34">
        <f t="shared" si="11"/>
        <v>19.2</v>
      </c>
      <c r="C638" s="34">
        <f t="shared" si="10"/>
        <v>3.6</v>
      </c>
      <c r="D638" s="34">
        <f t="shared" si="9"/>
        <v>771.2</v>
      </c>
    </row>
    <row r="639" spans="1:4">
      <c r="A639" s="20">
        <v>637</v>
      </c>
      <c r="B639" s="34">
        <f t="shared" si="11"/>
        <v>19.233333333333334</v>
      </c>
      <c r="C639" s="34">
        <f t="shared" si="10"/>
        <v>3.6166666666666667</v>
      </c>
      <c r="D639" s="34">
        <f t="shared" si="9"/>
        <v>773.48333333333335</v>
      </c>
    </row>
    <row r="640" spans="1:4">
      <c r="A640" s="20">
        <v>638</v>
      </c>
      <c r="B640" s="34">
        <f t="shared" si="11"/>
        <v>19.266666666666666</v>
      </c>
      <c r="C640" s="34">
        <f t="shared" si="10"/>
        <v>3.6333333333333333</v>
      </c>
      <c r="D640" s="34">
        <f t="shared" si="9"/>
        <v>775.76666666666665</v>
      </c>
    </row>
    <row r="641" spans="1:4">
      <c r="A641" s="20">
        <v>639</v>
      </c>
      <c r="B641" s="34">
        <f t="shared" si="11"/>
        <v>19.3</v>
      </c>
      <c r="C641" s="34">
        <f t="shared" si="10"/>
        <v>3.65</v>
      </c>
      <c r="D641" s="34">
        <f t="shared" si="9"/>
        <v>778.05</v>
      </c>
    </row>
    <row r="642" spans="1:4">
      <c r="A642" s="20">
        <v>640</v>
      </c>
      <c r="B642" s="34">
        <f t="shared" si="11"/>
        <v>19.333333333333332</v>
      </c>
      <c r="C642" s="34">
        <f t="shared" si="10"/>
        <v>3.666666666666667</v>
      </c>
      <c r="D642" s="34">
        <f t="shared" si="9"/>
        <v>780.33333333333337</v>
      </c>
    </row>
    <row r="643" spans="1:4">
      <c r="A643" s="20">
        <v>641</v>
      </c>
      <c r="B643" s="34">
        <f t="shared" si="11"/>
        <v>19.366666666666667</v>
      </c>
      <c r="C643" s="34">
        <f t="shared" si="10"/>
        <v>3.6833333333333336</v>
      </c>
      <c r="D643" s="34">
        <f t="shared" si="9"/>
        <v>782.61666666666667</v>
      </c>
    </row>
    <row r="644" spans="1:4">
      <c r="A644" s="20">
        <v>642</v>
      </c>
      <c r="B644" s="34">
        <f t="shared" si="11"/>
        <v>19.399999999999999</v>
      </c>
      <c r="C644" s="34">
        <f t="shared" si="10"/>
        <v>3.7</v>
      </c>
      <c r="D644" s="34">
        <f t="shared" si="9"/>
        <v>784.9</v>
      </c>
    </row>
    <row r="645" spans="1:4">
      <c r="A645" s="20">
        <v>643</v>
      </c>
      <c r="B645" s="34">
        <f t="shared" si="11"/>
        <v>19.433333333333334</v>
      </c>
      <c r="C645" s="34">
        <f t="shared" si="10"/>
        <v>3.7166666666666668</v>
      </c>
      <c r="D645" s="34">
        <f t="shared" si="9"/>
        <v>787.18333333333339</v>
      </c>
    </row>
    <row r="646" spans="1:4">
      <c r="A646" s="20">
        <v>644</v>
      </c>
      <c r="B646" s="34">
        <f t="shared" si="11"/>
        <v>19.466666666666669</v>
      </c>
      <c r="C646" s="34">
        <f t="shared" si="10"/>
        <v>3.7333333333333334</v>
      </c>
      <c r="D646" s="34">
        <f t="shared" si="9"/>
        <v>789.4666666666667</v>
      </c>
    </row>
    <row r="647" spans="1:4">
      <c r="A647" s="20">
        <v>645</v>
      </c>
      <c r="B647" s="34">
        <f t="shared" si="11"/>
        <v>19.5</v>
      </c>
      <c r="C647" s="34">
        <f t="shared" si="10"/>
        <v>3.75</v>
      </c>
      <c r="D647" s="34">
        <f t="shared" si="9"/>
        <v>791.75</v>
      </c>
    </row>
    <row r="648" spans="1:4">
      <c r="A648" s="20">
        <v>646</v>
      </c>
      <c r="B648" s="34">
        <f t="shared" si="11"/>
        <v>19.533333333333331</v>
      </c>
      <c r="C648" s="34">
        <f t="shared" si="10"/>
        <v>3.7666666666666666</v>
      </c>
      <c r="D648" s="34">
        <f t="shared" si="9"/>
        <v>794.0333333333333</v>
      </c>
    </row>
    <row r="649" spans="1:4">
      <c r="A649" s="20">
        <v>647</v>
      </c>
      <c r="B649" s="34">
        <f t="shared" si="11"/>
        <v>19.566666666666666</v>
      </c>
      <c r="C649" s="34">
        <f t="shared" si="10"/>
        <v>3.7833333333333332</v>
      </c>
      <c r="D649" s="34">
        <f t="shared" si="9"/>
        <v>796.31666666666661</v>
      </c>
    </row>
    <row r="650" spans="1:4">
      <c r="A650" s="20">
        <v>648</v>
      </c>
      <c r="B650" s="34">
        <f t="shared" si="11"/>
        <v>19.600000000000001</v>
      </c>
      <c r="C650" s="34">
        <f t="shared" si="10"/>
        <v>3.8</v>
      </c>
      <c r="D650" s="34">
        <f t="shared" si="9"/>
        <v>798.6</v>
      </c>
    </row>
    <row r="651" spans="1:4">
      <c r="A651" s="20">
        <v>649</v>
      </c>
      <c r="B651" s="34">
        <f t="shared" si="11"/>
        <v>19.633333333333333</v>
      </c>
      <c r="C651" s="34">
        <f t="shared" si="10"/>
        <v>3.8166666666666664</v>
      </c>
      <c r="D651" s="34">
        <f t="shared" si="9"/>
        <v>800.88333333333333</v>
      </c>
    </row>
    <row r="652" spans="1:4">
      <c r="A652" s="20">
        <v>650</v>
      </c>
      <c r="B652" s="34">
        <f t="shared" si="11"/>
        <v>19.666666666666668</v>
      </c>
      <c r="C652" s="34">
        <f t="shared" si="10"/>
        <v>3.833333333333333</v>
      </c>
      <c r="D652" s="34">
        <f t="shared" si="9"/>
        <v>803.16666666666663</v>
      </c>
    </row>
    <row r="653" spans="1:4">
      <c r="A653" s="20">
        <v>651</v>
      </c>
      <c r="B653" s="34">
        <f t="shared" si="11"/>
        <v>19.7</v>
      </c>
      <c r="C653" s="34">
        <f t="shared" si="10"/>
        <v>3.85</v>
      </c>
      <c r="D653" s="34">
        <f t="shared" si="9"/>
        <v>805.45</v>
      </c>
    </row>
    <row r="654" spans="1:4">
      <c r="A654" s="20">
        <v>652</v>
      </c>
      <c r="B654" s="34">
        <f t="shared" si="11"/>
        <v>19.733333333333334</v>
      </c>
      <c r="C654" s="34">
        <f t="shared" si="10"/>
        <v>3.8666666666666667</v>
      </c>
      <c r="D654" s="34">
        <f t="shared" si="9"/>
        <v>807.73333333333335</v>
      </c>
    </row>
    <row r="655" spans="1:4">
      <c r="A655" s="20">
        <v>653</v>
      </c>
      <c r="B655" s="34">
        <f t="shared" si="11"/>
        <v>19.766666666666666</v>
      </c>
      <c r="C655" s="34">
        <f t="shared" si="10"/>
        <v>3.8833333333333333</v>
      </c>
      <c r="D655" s="34">
        <f t="shared" si="9"/>
        <v>810.01666666666665</v>
      </c>
    </row>
    <row r="656" spans="1:4">
      <c r="A656" s="20">
        <v>654</v>
      </c>
      <c r="B656" s="34">
        <f t="shared" si="11"/>
        <v>19.8</v>
      </c>
      <c r="C656" s="34">
        <f t="shared" si="10"/>
        <v>3.9</v>
      </c>
      <c r="D656" s="34">
        <f t="shared" si="9"/>
        <v>812.3</v>
      </c>
    </row>
    <row r="657" spans="1:4">
      <c r="A657" s="20">
        <v>655</v>
      </c>
      <c r="B657" s="34">
        <f t="shared" si="11"/>
        <v>19.833333333333332</v>
      </c>
      <c r="C657" s="34">
        <f t="shared" si="10"/>
        <v>3.916666666666667</v>
      </c>
      <c r="D657" s="34">
        <f t="shared" si="9"/>
        <v>814.58333333333337</v>
      </c>
    </row>
    <row r="658" spans="1:4">
      <c r="A658" s="20">
        <v>656</v>
      </c>
      <c r="B658" s="34">
        <f t="shared" si="11"/>
        <v>19.866666666666667</v>
      </c>
      <c r="C658" s="34">
        <f t="shared" si="10"/>
        <v>3.9333333333333336</v>
      </c>
      <c r="D658" s="34">
        <f t="shared" si="9"/>
        <v>816.86666666666667</v>
      </c>
    </row>
    <row r="659" spans="1:4">
      <c r="A659" s="20">
        <v>657</v>
      </c>
      <c r="B659" s="34">
        <f t="shared" si="11"/>
        <v>19.899999999999999</v>
      </c>
      <c r="C659" s="34">
        <f t="shared" si="10"/>
        <v>3.95</v>
      </c>
      <c r="D659" s="34">
        <f t="shared" si="9"/>
        <v>819.15</v>
      </c>
    </row>
    <row r="660" spans="1:4">
      <c r="A660" s="20">
        <v>658</v>
      </c>
      <c r="B660" s="34">
        <f t="shared" si="11"/>
        <v>19.933333333333334</v>
      </c>
      <c r="C660" s="34">
        <f t="shared" si="10"/>
        <v>3.9666666666666668</v>
      </c>
      <c r="D660" s="34">
        <f t="shared" si="9"/>
        <v>821.43333333333339</v>
      </c>
    </row>
    <row r="661" spans="1:4">
      <c r="A661" s="20">
        <v>659</v>
      </c>
      <c r="B661" s="34">
        <f t="shared" si="11"/>
        <v>19.966666666666669</v>
      </c>
      <c r="C661" s="34">
        <f t="shared" si="10"/>
        <v>3.9833333333333334</v>
      </c>
      <c r="D661" s="34">
        <f t="shared" si="9"/>
        <v>823.7166666666667</v>
      </c>
    </row>
    <row r="662" spans="1:4">
      <c r="A662" s="20">
        <v>660</v>
      </c>
      <c r="B662" s="35">
        <f t="shared" si="11"/>
        <v>20</v>
      </c>
      <c r="C662" s="5">
        <v>4</v>
      </c>
      <c r="D662" s="5">
        <v>826</v>
      </c>
    </row>
    <row r="663" spans="1:4">
      <c r="A663" s="20">
        <v>661</v>
      </c>
      <c r="B663" s="34">
        <f t="shared" si="11"/>
        <v>20.033333333333331</v>
      </c>
      <c r="C663" s="34">
        <f>(A663-$A$662)/30+4</f>
        <v>4.0333333333333332</v>
      </c>
      <c r="D663" s="5">
        <f>(A663-$A$662)*(901-826)/60+826</f>
        <v>827.25</v>
      </c>
    </row>
    <row r="664" spans="1:4">
      <c r="A664" s="20">
        <v>662</v>
      </c>
      <c r="B664" s="34">
        <f t="shared" si="11"/>
        <v>20.066666666666666</v>
      </c>
      <c r="C664" s="34">
        <f t="shared" ref="C664:C721" si="12">(A664-$A$662)/30+4</f>
        <v>4.0666666666666664</v>
      </c>
      <c r="D664" s="5">
        <f t="shared" ref="D664:D721" si="13">(A664-$A$662)*(901-826)/60+826</f>
        <v>828.5</v>
      </c>
    </row>
    <row r="665" spans="1:4">
      <c r="A665" s="20">
        <v>663</v>
      </c>
      <c r="B665" s="34">
        <f t="shared" si="11"/>
        <v>20.100000000000001</v>
      </c>
      <c r="C665" s="34">
        <f t="shared" si="12"/>
        <v>4.0999999999999996</v>
      </c>
      <c r="D665" s="5">
        <f t="shared" si="13"/>
        <v>829.75</v>
      </c>
    </row>
    <row r="666" spans="1:4">
      <c r="A666" s="20">
        <v>664</v>
      </c>
      <c r="B666" s="34">
        <f t="shared" si="11"/>
        <v>20.133333333333333</v>
      </c>
      <c r="C666" s="34">
        <f t="shared" si="12"/>
        <v>4.1333333333333337</v>
      </c>
      <c r="D666" s="5">
        <f t="shared" si="13"/>
        <v>831</v>
      </c>
    </row>
    <row r="667" spans="1:4">
      <c r="A667" s="20">
        <v>665</v>
      </c>
      <c r="B667" s="34">
        <f t="shared" si="11"/>
        <v>20.166666666666664</v>
      </c>
      <c r="C667" s="34">
        <f t="shared" si="12"/>
        <v>4.166666666666667</v>
      </c>
      <c r="D667" s="5">
        <f t="shared" si="13"/>
        <v>832.25</v>
      </c>
    </row>
    <row r="668" spans="1:4">
      <c r="A668" s="20">
        <v>666</v>
      </c>
      <c r="B668" s="34">
        <f t="shared" si="11"/>
        <v>20.2</v>
      </c>
      <c r="C668" s="34">
        <f t="shared" si="12"/>
        <v>4.2</v>
      </c>
      <c r="D668" s="5">
        <f t="shared" si="13"/>
        <v>833.5</v>
      </c>
    </row>
    <row r="669" spans="1:4">
      <c r="A669" s="20">
        <v>667</v>
      </c>
      <c r="B669" s="34">
        <f t="shared" si="11"/>
        <v>20.233333333333334</v>
      </c>
      <c r="C669" s="34">
        <f t="shared" si="12"/>
        <v>4.2333333333333334</v>
      </c>
      <c r="D669" s="5">
        <f t="shared" si="13"/>
        <v>834.75</v>
      </c>
    </row>
    <row r="670" spans="1:4">
      <c r="A670" s="20">
        <v>668</v>
      </c>
      <c r="B670" s="34">
        <f t="shared" si="11"/>
        <v>20.266666666666666</v>
      </c>
      <c r="C670" s="34">
        <f t="shared" si="12"/>
        <v>4.2666666666666666</v>
      </c>
      <c r="D670" s="5">
        <f t="shared" si="13"/>
        <v>836</v>
      </c>
    </row>
    <row r="671" spans="1:4">
      <c r="A671" s="20">
        <v>669</v>
      </c>
      <c r="B671" s="34">
        <f t="shared" si="11"/>
        <v>20.3</v>
      </c>
      <c r="C671" s="34">
        <f t="shared" si="12"/>
        <v>4.3</v>
      </c>
      <c r="D671" s="5">
        <f t="shared" si="13"/>
        <v>837.25</v>
      </c>
    </row>
    <row r="672" spans="1:4">
      <c r="A672" s="20">
        <v>670</v>
      </c>
      <c r="B672" s="34">
        <f t="shared" si="11"/>
        <v>20.333333333333336</v>
      </c>
      <c r="C672" s="34">
        <f t="shared" si="12"/>
        <v>4.333333333333333</v>
      </c>
      <c r="D672" s="5">
        <f t="shared" si="13"/>
        <v>838.5</v>
      </c>
    </row>
    <row r="673" spans="1:4">
      <c r="A673" s="20">
        <v>671</v>
      </c>
      <c r="B673" s="34">
        <f t="shared" si="11"/>
        <v>20.366666666666667</v>
      </c>
      <c r="C673" s="34">
        <f t="shared" si="12"/>
        <v>4.3666666666666663</v>
      </c>
      <c r="D673" s="5">
        <f t="shared" si="13"/>
        <v>839.75</v>
      </c>
    </row>
    <row r="674" spans="1:4">
      <c r="A674" s="20">
        <v>672</v>
      </c>
      <c r="B674" s="34">
        <f t="shared" si="11"/>
        <v>20.399999999999999</v>
      </c>
      <c r="C674" s="34">
        <f t="shared" si="12"/>
        <v>4.4000000000000004</v>
      </c>
      <c r="D674" s="5">
        <f t="shared" si="13"/>
        <v>841</v>
      </c>
    </row>
    <row r="675" spans="1:4">
      <c r="A675" s="20">
        <v>673</v>
      </c>
      <c r="B675" s="34">
        <f t="shared" si="11"/>
        <v>20.433333333333334</v>
      </c>
      <c r="C675" s="34">
        <f t="shared" si="12"/>
        <v>4.4333333333333336</v>
      </c>
      <c r="D675" s="5">
        <f t="shared" si="13"/>
        <v>842.25</v>
      </c>
    </row>
    <row r="676" spans="1:4">
      <c r="A676" s="20">
        <v>674</v>
      </c>
      <c r="B676" s="34">
        <f t="shared" si="11"/>
        <v>20.466666666666669</v>
      </c>
      <c r="C676" s="34">
        <f t="shared" si="12"/>
        <v>4.4666666666666668</v>
      </c>
      <c r="D676" s="5">
        <f t="shared" si="13"/>
        <v>843.5</v>
      </c>
    </row>
    <row r="677" spans="1:4">
      <c r="A677" s="20">
        <v>675</v>
      </c>
      <c r="B677" s="34">
        <f t="shared" si="11"/>
        <v>20.5</v>
      </c>
      <c r="C677" s="34">
        <f t="shared" si="12"/>
        <v>4.5</v>
      </c>
      <c r="D677" s="5">
        <f t="shared" si="13"/>
        <v>844.75</v>
      </c>
    </row>
    <row r="678" spans="1:4">
      <c r="A678" s="20">
        <v>676</v>
      </c>
      <c r="B678" s="34">
        <f t="shared" si="11"/>
        <v>20.533333333333331</v>
      </c>
      <c r="C678" s="34">
        <f t="shared" si="12"/>
        <v>4.5333333333333332</v>
      </c>
      <c r="D678" s="5">
        <f t="shared" si="13"/>
        <v>846</v>
      </c>
    </row>
    <row r="679" spans="1:4">
      <c r="A679" s="20">
        <v>677</v>
      </c>
      <c r="B679" s="34">
        <f t="shared" si="11"/>
        <v>20.566666666666666</v>
      </c>
      <c r="C679" s="34">
        <f t="shared" si="12"/>
        <v>4.5666666666666664</v>
      </c>
      <c r="D679" s="5">
        <f t="shared" si="13"/>
        <v>847.25</v>
      </c>
    </row>
    <row r="680" spans="1:4">
      <c r="A680" s="20">
        <v>678</v>
      </c>
      <c r="B680" s="34">
        <f t="shared" si="11"/>
        <v>20.6</v>
      </c>
      <c r="C680" s="34">
        <f t="shared" si="12"/>
        <v>4.5999999999999996</v>
      </c>
      <c r="D680" s="5">
        <f t="shared" si="13"/>
        <v>848.5</v>
      </c>
    </row>
    <row r="681" spans="1:4">
      <c r="A681" s="20">
        <v>679</v>
      </c>
      <c r="B681" s="34">
        <f t="shared" ref="B681:B744" si="14">(A681-$A$422)*2/60+$B$422</f>
        <v>20.633333333333333</v>
      </c>
      <c r="C681" s="34">
        <f t="shared" si="12"/>
        <v>4.6333333333333329</v>
      </c>
      <c r="D681" s="5">
        <f t="shared" si="13"/>
        <v>849.75</v>
      </c>
    </row>
    <row r="682" spans="1:4">
      <c r="A682" s="20">
        <v>680</v>
      </c>
      <c r="B682" s="34">
        <f t="shared" si="14"/>
        <v>20.666666666666664</v>
      </c>
      <c r="C682" s="34">
        <f t="shared" si="12"/>
        <v>4.666666666666667</v>
      </c>
      <c r="D682" s="5">
        <f t="shared" si="13"/>
        <v>851</v>
      </c>
    </row>
    <row r="683" spans="1:4">
      <c r="A683" s="20">
        <v>681</v>
      </c>
      <c r="B683" s="34">
        <f t="shared" si="14"/>
        <v>20.7</v>
      </c>
      <c r="C683" s="34">
        <f t="shared" si="12"/>
        <v>4.7</v>
      </c>
      <c r="D683" s="5">
        <f t="shared" si="13"/>
        <v>852.25</v>
      </c>
    </row>
    <row r="684" spans="1:4">
      <c r="A684" s="20">
        <v>682</v>
      </c>
      <c r="B684" s="34">
        <f t="shared" si="14"/>
        <v>20.733333333333334</v>
      </c>
      <c r="C684" s="34">
        <f t="shared" si="12"/>
        <v>4.7333333333333334</v>
      </c>
      <c r="D684" s="5">
        <f t="shared" si="13"/>
        <v>853.5</v>
      </c>
    </row>
    <row r="685" spans="1:4">
      <c r="A685" s="20">
        <v>683</v>
      </c>
      <c r="B685" s="34">
        <f t="shared" si="14"/>
        <v>20.766666666666666</v>
      </c>
      <c r="C685" s="34">
        <f t="shared" si="12"/>
        <v>4.7666666666666666</v>
      </c>
      <c r="D685" s="5">
        <f t="shared" si="13"/>
        <v>854.75</v>
      </c>
    </row>
    <row r="686" spans="1:4">
      <c r="A686" s="20">
        <v>684</v>
      </c>
      <c r="B686" s="34">
        <f t="shared" si="14"/>
        <v>20.8</v>
      </c>
      <c r="C686" s="34">
        <f t="shared" si="12"/>
        <v>4.8</v>
      </c>
      <c r="D686" s="5">
        <f t="shared" si="13"/>
        <v>856</v>
      </c>
    </row>
    <row r="687" spans="1:4">
      <c r="A687" s="20">
        <v>685</v>
      </c>
      <c r="B687" s="34">
        <f t="shared" si="14"/>
        <v>20.833333333333336</v>
      </c>
      <c r="C687" s="34">
        <f t="shared" si="12"/>
        <v>4.833333333333333</v>
      </c>
      <c r="D687" s="5">
        <f t="shared" si="13"/>
        <v>857.25</v>
      </c>
    </row>
    <row r="688" spans="1:4">
      <c r="A688" s="20">
        <v>686</v>
      </c>
      <c r="B688" s="34">
        <f t="shared" si="14"/>
        <v>20.866666666666667</v>
      </c>
      <c r="C688" s="34">
        <f t="shared" si="12"/>
        <v>4.8666666666666671</v>
      </c>
      <c r="D688" s="5">
        <f t="shared" si="13"/>
        <v>858.5</v>
      </c>
    </row>
    <row r="689" spans="1:4">
      <c r="A689" s="20">
        <v>687</v>
      </c>
      <c r="B689" s="34">
        <f t="shared" si="14"/>
        <v>20.9</v>
      </c>
      <c r="C689" s="34">
        <f t="shared" si="12"/>
        <v>4.9000000000000004</v>
      </c>
      <c r="D689" s="5">
        <f t="shared" si="13"/>
        <v>859.75</v>
      </c>
    </row>
    <row r="690" spans="1:4">
      <c r="A690" s="20">
        <v>688</v>
      </c>
      <c r="B690" s="34">
        <f t="shared" si="14"/>
        <v>20.933333333333334</v>
      </c>
      <c r="C690" s="34">
        <f t="shared" si="12"/>
        <v>4.9333333333333336</v>
      </c>
      <c r="D690" s="5">
        <f t="shared" si="13"/>
        <v>861</v>
      </c>
    </row>
    <row r="691" spans="1:4">
      <c r="A691" s="20">
        <v>689</v>
      </c>
      <c r="B691" s="34">
        <f t="shared" si="14"/>
        <v>20.966666666666669</v>
      </c>
      <c r="C691" s="34">
        <f t="shared" si="12"/>
        <v>4.9666666666666668</v>
      </c>
      <c r="D691" s="5">
        <f t="shared" si="13"/>
        <v>862.25</v>
      </c>
    </row>
    <row r="692" spans="1:4">
      <c r="A692" s="20">
        <v>690</v>
      </c>
      <c r="B692" s="34">
        <f t="shared" si="14"/>
        <v>21</v>
      </c>
      <c r="C692" s="34">
        <f t="shared" si="12"/>
        <v>5</v>
      </c>
      <c r="D692" s="5">
        <f t="shared" si="13"/>
        <v>863.5</v>
      </c>
    </row>
    <row r="693" spans="1:4">
      <c r="A693" s="20">
        <v>691</v>
      </c>
      <c r="B693" s="34">
        <f t="shared" si="14"/>
        <v>21.033333333333331</v>
      </c>
      <c r="C693" s="34">
        <f t="shared" si="12"/>
        <v>5.0333333333333332</v>
      </c>
      <c r="D693" s="5">
        <f t="shared" si="13"/>
        <v>864.75</v>
      </c>
    </row>
    <row r="694" spans="1:4">
      <c r="A694" s="20">
        <v>692</v>
      </c>
      <c r="B694" s="34">
        <f t="shared" si="14"/>
        <v>21.066666666666666</v>
      </c>
      <c r="C694" s="34">
        <f t="shared" si="12"/>
        <v>5.0666666666666664</v>
      </c>
      <c r="D694" s="5">
        <f t="shared" si="13"/>
        <v>866</v>
      </c>
    </row>
    <row r="695" spans="1:4">
      <c r="A695" s="20">
        <v>693</v>
      </c>
      <c r="B695" s="34">
        <f t="shared" si="14"/>
        <v>21.1</v>
      </c>
      <c r="C695" s="34">
        <f t="shared" si="12"/>
        <v>5.0999999999999996</v>
      </c>
      <c r="D695" s="5">
        <f t="shared" si="13"/>
        <v>867.25</v>
      </c>
    </row>
    <row r="696" spans="1:4">
      <c r="A696" s="20">
        <v>694</v>
      </c>
      <c r="B696" s="34">
        <f t="shared" si="14"/>
        <v>21.133333333333333</v>
      </c>
      <c r="C696" s="34">
        <f t="shared" si="12"/>
        <v>5.1333333333333329</v>
      </c>
      <c r="D696" s="5">
        <f t="shared" si="13"/>
        <v>868.5</v>
      </c>
    </row>
    <row r="697" spans="1:4">
      <c r="A697" s="20">
        <v>695</v>
      </c>
      <c r="B697" s="34">
        <f t="shared" si="14"/>
        <v>21.166666666666664</v>
      </c>
      <c r="C697" s="34">
        <f t="shared" si="12"/>
        <v>5.166666666666667</v>
      </c>
      <c r="D697" s="5">
        <f t="shared" si="13"/>
        <v>869.75</v>
      </c>
    </row>
    <row r="698" spans="1:4">
      <c r="A698" s="20">
        <v>696</v>
      </c>
      <c r="B698" s="34">
        <f t="shared" si="14"/>
        <v>21.2</v>
      </c>
      <c r="C698" s="34">
        <f t="shared" si="12"/>
        <v>5.2</v>
      </c>
      <c r="D698" s="5">
        <f t="shared" si="13"/>
        <v>871</v>
      </c>
    </row>
    <row r="699" spans="1:4">
      <c r="A699" s="20">
        <v>697</v>
      </c>
      <c r="B699" s="34">
        <f t="shared" si="14"/>
        <v>21.233333333333334</v>
      </c>
      <c r="C699" s="34">
        <f t="shared" si="12"/>
        <v>5.2333333333333334</v>
      </c>
      <c r="D699" s="5">
        <f t="shared" si="13"/>
        <v>872.25</v>
      </c>
    </row>
    <row r="700" spans="1:4">
      <c r="A700" s="20">
        <v>698</v>
      </c>
      <c r="B700" s="34">
        <f t="shared" si="14"/>
        <v>21.266666666666666</v>
      </c>
      <c r="C700" s="34">
        <f t="shared" si="12"/>
        <v>5.2666666666666666</v>
      </c>
      <c r="D700" s="5">
        <f t="shared" si="13"/>
        <v>873.5</v>
      </c>
    </row>
    <row r="701" spans="1:4">
      <c r="A701" s="20">
        <v>699</v>
      </c>
      <c r="B701" s="34">
        <f t="shared" si="14"/>
        <v>21.3</v>
      </c>
      <c r="C701" s="34">
        <f t="shared" si="12"/>
        <v>5.3</v>
      </c>
      <c r="D701" s="5">
        <f t="shared" si="13"/>
        <v>874.75</v>
      </c>
    </row>
    <row r="702" spans="1:4">
      <c r="A702" s="20">
        <v>700</v>
      </c>
      <c r="B702" s="34">
        <f t="shared" si="14"/>
        <v>21.333333333333336</v>
      </c>
      <c r="C702" s="34">
        <f t="shared" si="12"/>
        <v>5.333333333333333</v>
      </c>
      <c r="D702" s="5">
        <f t="shared" si="13"/>
        <v>876</v>
      </c>
    </row>
    <row r="703" spans="1:4">
      <c r="A703" s="20">
        <v>701</v>
      </c>
      <c r="B703" s="34">
        <f t="shared" si="14"/>
        <v>21.366666666666667</v>
      </c>
      <c r="C703" s="34">
        <f t="shared" si="12"/>
        <v>5.3666666666666671</v>
      </c>
      <c r="D703" s="5">
        <f t="shared" si="13"/>
        <v>877.25</v>
      </c>
    </row>
    <row r="704" spans="1:4">
      <c r="A704" s="20">
        <v>702</v>
      </c>
      <c r="B704" s="34">
        <f t="shared" si="14"/>
        <v>21.4</v>
      </c>
      <c r="C704" s="34">
        <f t="shared" si="12"/>
        <v>5.4</v>
      </c>
      <c r="D704" s="5">
        <f t="shared" si="13"/>
        <v>878.5</v>
      </c>
    </row>
    <row r="705" spans="1:4">
      <c r="A705" s="20">
        <v>703</v>
      </c>
      <c r="B705" s="34">
        <f t="shared" si="14"/>
        <v>21.433333333333334</v>
      </c>
      <c r="C705" s="34">
        <f t="shared" si="12"/>
        <v>5.4333333333333336</v>
      </c>
      <c r="D705" s="5">
        <f t="shared" si="13"/>
        <v>879.75</v>
      </c>
    </row>
    <row r="706" spans="1:4">
      <c r="A706" s="20">
        <v>704</v>
      </c>
      <c r="B706" s="34">
        <f t="shared" si="14"/>
        <v>21.466666666666669</v>
      </c>
      <c r="C706" s="34">
        <f t="shared" si="12"/>
        <v>5.4666666666666668</v>
      </c>
      <c r="D706" s="5">
        <f t="shared" si="13"/>
        <v>881</v>
      </c>
    </row>
    <row r="707" spans="1:4">
      <c r="A707" s="20">
        <v>705</v>
      </c>
      <c r="B707" s="34">
        <f t="shared" si="14"/>
        <v>21.5</v>
      </c>
      <c r="C707" s="34">
        <f t="shared" si="12"/>
        <v>5.5</v>
      </c>
      <c r="D707" s="5">
        <f t="shared" si="13"/>
        <v>882.25</v>
      </c>
    </row>
    <row r="708" spans="1:4">
      <c r="A708" s="20">
        <v>706</v>
      </c>
      <c r="B708" s="34">
        <f t="shared" si="14"/>
        <v>21.533333333333331</v>
      </c>
      <c r="C708" s="34">
        <f t="shared" si="12"/>
        <v>5.5333333333333332</v>
      </c>
      <c r="D708" s="5">
        <f t="shared" si="13"/>
        <v>883.5</v>
      </c>
    </row>
    <row r="709" spans="1:4">
      <c r="A709" s="20">
        <v>707</v>
      </c>
      <c r="B709" s="34">
        <f t="shared" si="14"/>
        <v>21.566666666666666</v>
      </c>
      <c r="C709" s="34">
        <f t="shared" si="12"/>
        <v>5.5666666666666664</v>
      </c>
      <c r="D709" s="5">
        <f t="shared" si="13"/>
        <v>884.75</v>
      </c>
    </row>
    <row r="710" spans="1:4">
      <c r="A710" s="20">
        <v>708</v>
      </c>
      <c r="B710" s="34">
        <f t="shared" si="14"/>
        <v>21.6</v>
      </c>
      <c r="C710" s="34">
        <f t="shared" si="12"/>
        <v>5.6</v>
      </c>
      <c r="D710" s="5">
        <f t="shared" si="13"/>
        <v>886</v>
      </c>
    </row>
    <row r="711" spans="1:4">
      <c r="A711" s="20">
        <v>709</v>
      </c>
      <c r="B711" s="34">
        <f t="shared" si="14"/>
        <v>21.633333333333333</v>
      </c>
      <c r="C711" s="34">
        <f t="shared" si="12"/>
        <v>5.6333333333333329</v>
      </c>
      <c r="D711" s="5">
        <f t="shared" si="13"/>
        <v>887.25</v>
      </c>
    </row>
    <row r="712" spans="1:4">
      <c r="A712" s="20">
        <v>710</v>
      </c>
      <c r="B712" s="34">
        <f t="shared" si="14"/>
        <v>21.666666666666664</v>
      </c>
      <c r="C712" s="34">
        <f t="shared" si="12"/>
        <v>5.666666666666667</v>
      </c>
      <c r="D712" s="5">
        <f t="shared" si="13"/>
        <v>888.5</v>
      </c>
    </row>
    <row r="713" spans="1:4">
      <c r="A713" s="20">
        <v>711</v>
      </c>
      <c r="B713" s="34">
        <f t="shared" si="14"/>
        <v>21.7</v>
      </c>
      <c r="C713" s="34">
        <f t="shared" si="12"/>
        <v>5.7</v>
      </c>
      <c r="D713" s="5">
        <f t="shared" si="13"/>
        <v>889.75</v>
      </c>
    </row>
    <row r="714" spans="1:4">
      <c r="A714" s="20">
        <v>712</v>
      </c>
      <c r="B714" s="34">
        <f t="shared" si="14"/>
        <v>21.733333333333334</v>
      </c>
      <c r="C714" s="34">
        <f t="shared" si="12"/>
        <v>5.7333333333333334</v>
      </c>
      <c r="D714" s="5">
        <f t="shared" si="13"/>
        <v>891</v>
      </c>
    </row>
    <row r="715" spans="1:4">
      <c r="A715" s="20">
        <v>713</v>
      </c>
      <c r="B715" s="34">
        <f t="shared" si="14"/>
        <v>21.766666666666666</v>
      </c>
      <c r="C715" s="34">
        <f t="shared" si="12"/>
        <v>5.7666666666666666</v>
      </c>
      <c r="D715" s="5">
        <f t="shared" si="13"/>
        <v>892.25</v>
      </c>
    </row>
    <row r="716" spans="1:4">
      <c r="A716" s="20">
        <v>714</v>
      </c>
      <c r="B716" s="34">
        <f t="shared" si="14"/>
        <v>21.8</v>
      </c>
      <c r="C716" s="34">
        <f t="shared" si="12"/>
        <v>5.8</v>
      </c>
      <c r="D716" s="5">
        <f t="shared" si="13"/>
        <v>893.5</v>
      </c>
    </row>
    <row r="717" spans="1:4">
      <c r="A717" s="20">
        <v>715</v>
      </c>
      <c r="B717" s="34">
        <f t="shared" si="14"/>
        <v>21.833333333333336</v>
      </c>
      <c r="C717" s="34">
        <f t="shared" si="12"/>
        <v>5.833333333333333</v>
      </c>
      <c r="D717" s="5">
        <f t="shared" si="13"/>
        <v>894.75</v>
      </c>
    </row>
    <row r="718" spans="1:4">
      <c r="A718" s="20">
        <v>716</v>
      </c>
      <c r="B718" s="34">
        <f t="shared" si="14"/>
        <v>21.866666666666667</v>
      </c>
      <c r="C718" s="34">
        <f t="shared" si="12"/>
        <v>5.8666666666666671</v>
      </c>
      <c r="D718" s="5">
        <f t="shared" si="13"/>
        <v>896</v>
      </c>
    </row>
    <row r="719" spans="1:4">
      <c r="A719" s="20">
        <v>717</v>
      </c>
      <c r="B719" s="34">
        <f t="shared" si="14"/>
        <v>21.9</v>
      </c>
      <c r="C719" s="34">
        <f t="shared" si="12"/>
        <v>5.9</v>
      </c>
      <c r="D719" s="5">
        <f t="shared" si="13"/>
        <v>897.25</v>
      </c>
    </row>
    <row r="720" spans="1:4">
      <c r="A720" s="20">
        <v>718</v>
      </c>
      <c r="B720" s="34">
        <f t="shared" si="14"/>
        <v>21.933333333333334</v>
      </c>
      <c r="C720" s="34">
        <f t="shared" si="12"/>
        <v>5.9333333333333336</v>
      </c>
      <c r="D720" s="5">
        <f t="shared" si="13"/>
        <v>898.5</v>
      </c>
    </row>
    <row r="721" spans="1:4">
      <c r="A721" s="20">
        <v>719</v>
      </c>
      <c r="B721" s="34">
        <f t="shared" si="14"/>
        <v>21.966666666666669</v>
      </c>
      <c r="C721" s="34">
        <f t="shared" si="12"/>
        <v>5.9666666666666668</v>
      </c>
      <c r="D721" s="5">
        <f t="shared" si="13"/>
        <v>899.75</v>
      </c>
    </row>
    <row r="722" spans="1:4">
      <c r="A722" s="20">
        <v>720</v>
      </c>
      <c r="B722" s="35">
        <f t="shared" si="14"/>
        <v>22</v>
      </c>
      <c r="C722" s="5">
        <v>6</v>
      </c>
      <c r="D722" s="5">
        <v>901</v>
      </c>
    </row>
    <row r="723" spans="1:4">
      <c r="A723" s="20">
        <v>721</v>
      </c>
      <c r="B723" s="34">
        <f t="shared" si="14"/>
        <v>22.033333333333331</v>
      </c>
      <c r="C723" s="5">
        <v>6</v>
      </c>
      <c r="D723" s="5">
        <f>(A723-$A$722)*(3)/60+901</f>
        <v>901.05</v>
      </c>
    </row>
    <row r="724" spans="1:4">
      <c r="A724" s="20">
        <v>722</v>
      </c>
      <c r="B724" s="34">
        <f t="shared" si="14"/>
        <v>22.066666666666666</v>
      </c>
      <c r="C724" s="5">
        <v>6</v>
      </c>
      <c r="D724" s="5">
        <f t="shared" ref="D724:D781" si="15">(A724-$A$722)*(3)/60+901</f>
        <v>901.1</v>
      </c>
    </row>
    <row r="725" spans="1:4">
      <c r="A725" s="20">
        <v>723</v>
      </c>
      <c r="B725" s="34">
        <f t="shared" si="14"/>
        <v>22.1</v>
      </c>
      <c r="C725" s="5">
        <v>6</v>
      </c>
      <c r="D725" s="5">
        <f t="shared" si="15"/>
        <v>901.15</v>
      </c>
    </row>
    <row r="726" spans="1:4">
      <c r="A726" s="20">
        <v>724</v>
      </c>
      <c r="B726" s="34">
        <f t="shared" si="14"/>
        <v>22.133333333333333</v>
      </c>
      <c r="C726" s="5">
        <v>6</v>
      </c>
      <c r="D726" s="5">
        <f t="shared" si="15"/>
        <v>901.2</v>
      </c>
    </row>
    <row r="727" spans="1:4">
      <c r="A727" s="20">
        <v>725</v>
      </c>
      <c r="B727" s="34">
        <f t="shared" si="14"/>
        <v>22.166666666666664</v>
      </c>
      <c r="C727" s="5">
        <v>6</v>
      </c>
      <c r="D727" s="5">
        <f t="shared" si="15"/>
        <v>901.25</v>
      </c>
    </row>
    <row r="728" spans="1:4">
      <c r="A728" s="20">
        <v>726</v>
      </c>
      <c r="B728" s="34">
        <f t="shared" si="14"/>
        <v>22.2</v>
      </c>
      <c r="C728" s="5">
        <v>6</v>
      </c>
      <c r="D728" s="5">
        <f t="shared" si="15"/>
        <v>901.3</v>
      </c>
    </row>
    <row r="729" spans="1:4">
      <c r="A729" s="20">
        <v>727</v>
      </c>
      <c r="B729" s="34">
        <f t="shared" si="14"/>
        <v>22.233333333333334</v>
      </c>
      <c r="C729" s="5">
        <v>6</v>
      </c>
      <c r="D729" s="5">
        <f t="shared" si="15"/>
        <v>901.35</v>
      </c>
    </row>
    <row r="730" spans="1:4">
      <c r="A730" s="20">
        <v>728</v>
      </c>
      <c r="B730" s="34">
        <f t="shared" si="14"/>
        <v>22.266666666666666</v>
      </c>
      <c r="C730" s="5">
        <v>6</v>
      </c>
      <c r="D730" s="5">
        <f t="shared" si="15"/>
        <v>901.4</v>
      </c>
    </row>
    <row r="731" spans="1:4">
      <c r="A731" s="20">
        <v>729</v>
      </c>
      <c r="B731" s="34">
        <f t="shared" si="14"/>
        <v>22.3</v>
      </c>
      <c r="C731" s="5">
        <v>6</v>
      </c>
      <c r="D731" s="5">
        <f t="shared" si="15"/>
        <v>901.45</v>
      </c>
    </row>
    <row r="732" spans="1:4">
      <c r="A732" s="20">
        <v>730</v>
      </c>
      <c r="B732" s="34">
        <f t="shared" si="14"/>
        <v>22.333333333333336</v>
      </c>
      <c r="C732" s="5">
        <v>6</v>
      </c>
      <c r="D732" s="5">
        <f t="shared" si="15"/>
        <v>901.5</v>
      </c>
    </row>
    <row r="733" spans="1:4">
      <c r="A733" s="20">
        <v>731</v>
      </c>
      <c r="B733" s="34">
        <f t="shared" si="14"/>
        <v>22.366666666666667</v>
      </c>
      <c r="C733" s="5">
        <v>6</v>
      </c>
      <c r="D733" s="5">
        <f t="shared" si="15"/>
        <v>901.55</v>
      </c>
    </row>
    <row r="734" spans="1:4">
      <c r="A734" s="20">
        <v>732</v>
      </c>
      <c r="B734" s="34">
        <f t="shared" si="14"/>
        <v>22.4</v>
      </c>
      <c r="C734" s="5">
        <v>6</v>
      </c>
      <c r="D734" s="5">
        <f t="shared" si="15"/>
        <v>901.6</v>
      </c>
    </row>
    <row r="735" spans="1:4">
      <c r="A735" s="20">
        <v>733</v>
      </c>
      <c r="B735" s="34">
        <f t="shared" si="14"/>
        <v>22.433333333333334</v>
      </c>
      <c r="C735" s="5">
        <v>6</v>
      </c>
      <c r="D735" s="5">
        <f t="shared" si="15"/>
        <v>901.65</v>
      </c>
    </row>
    <row r="736" spans="1:4">
      <c r="A736" s="20">
        <v>734</v>
      </c>
      <c r="B736" s="34">
        <f t="shared" si="14"/>
        <v>22.466666666666669</v>
      </c>
      <c r="C736" s="5">
        <v>6</v>
      </c>
      <c r="D736" s="5">
        <f t="shared" si="15"/>
        <v>901.7</v>
      </c>
    </row>
    <row r="737" spans="1:4">
      <c r="A737" s="20">
        <v>735</v>
      </c>
      <c r="B737" s="34">
        <f t="shared" si="14"/>
        <v>22.5</v>
      </c>
      <c r="C737" s="5">
        <v>6</v>
      </c>
      <c r="D737" s="5">
        <f t="shared" si="15"/>
        <v>901.75</v>
      </c>
    </row>
    <row r="738" spans="1:4">
      <c r="A738" s="20">
        <v>736</v>
      </c>
      <c r="B738" s="34">
        <f t="shared" si="14"/>
        <v>22.533333333333331</v>
      </c>
      <c r="C738" s="5">
        <v>6</v>
      </c>
      <c r="D738" s="5">
        <f t="shared" si="15"/>
        <v>901.8</v>
      </c>
    </row>
    <row r="739" spans="1:4">
      <c r="A739" s="20">
        <v>737</v>
      </c>
      <c r="B739" s="34">
        <f t="shared" si="14"/>
        <v>22.566666666666666</v>
      </c>
      <c r="C739" s="5">
        <v>6</v>
      </c>
      <c r="D739" s="5">
        <f t="shared" si="15"/>
        <v>901.85</v>
      </c>
    </row>
    <row r="740" spans="1:4">
      <c r="A740" s="20">
        <v>738</v>
      </c>
      <c r="B740" s="34">
        <f t="shared" si="14"/>
        <v>22.6</v>
      </c>
      <c r="C740" s="5">
        <v>6</v>
      </c>
      <c r="D740" s="5">
        <f t="shared" si="15"/>
        <v>901.9</v>
      </c>
    </row>
    <row r="741" spans="1:4">
      <c r="A741" s="20">
        <v>739</v>
      </c>
      <c r="B741" s="34">
        <f t="shared" si="14"/>
        <v>22.633333333333333</v>
      </c>
      <c r="C741" s="5">
        <v>6</v>
      </c>
      <c r="D741" s="5">
        <f t="shared" si="15"/>
        <v>901.95</v>
      </c>
    </row>
    <row r="742" spans="1:4">
      <c r="A742" s="20">
        <v>740</v>
      </c>
      <c r="B742" s="34">
        <f t="shared" si="14"/>
        <v>22.666666666666664</v>
      </c>
      <c r="C742" s="5">
        <v>6</v>
      </c>
      <c r="D742" s="5">
        <f t="shared" si="15"/>
        <v>902</v>
      </c>
    </row>
    <row r="743" spans="1:4">
      <c r="A743" s="20">
        <v>741</v>
      </c>
      <c r="B743" s="34">
        <f t="shared" si="14"/>
        <v>22.7</v>
      </c>
      <c r="C743" s="5">
        <v>6</v>
      </c>
      <c r="D743" s="5">
        <f t="shared" si="15"/>
        <v>902.05</v>
      </c>
    </row>
    <row r="744" spans="1:4">
      <c r="A744" s="20">
        <v>742</v>
      </c>
      <c r="B744" s="34">
        <f t="shared" si="14"/>
        <v>22.733333333333334</v>
      </c>
      <c r="C744" s="5">
        <v>6</v>
      </c>
      <c r="D744" s="5">
        <f t="shared" si="15"/>
        <v>902.1</v>
      </c>
    </row>
    <row r="745" spans="1:4">
      <c r="A745" s="20">
        <v>743</v>
      </c>
      <c r="B745" s="34">
        <f t="shared" ref="B745:B781" si="16">(A745-$A$422)*2/60+$B$422</f>
        <v>22.766666666666666</v>
      </c>
      <c r="C745" s="5">
        <v>6</v>
      </c>
      <c r="D745" s="5">
        <f t="shared" si="15"/>
        <v>902.15</v>
      </c>
    </row>
    <row r="746" spans="1:4">
      <c r="A746" s="20">
        <v>744</v>
      </c>
      <c r="B746" s="34">
        <f t="shared" si="16"/>
        <v>22.8</v>
      </c>
      <c r="C746" s="5">
        <v>6</v>
      </c>
      <c r="D746" s="5">
        <f t="shared" si="15"/>
        <v>902.2</v>
      </c>
    </row>
    <row r="747" spans="1:4">
      <c r="A747" s="20">
        <v>745</v>
      </c>
      <c r="B747" s="34">
        <f t="shared" si="16"/>
        <v>22.833333333333336</v>
      </c>
      <c r="C747" s="5">
        <v>6</v>
      </c>
      <c r="D747" s="5">
        <f t="shared" si="15"/>
        <v>902.25</v>
      </c>
    </row>
    <row r="748" spans="1:4">
      <c r="A748" s="20">
        <v>746</v>
      </c>
      <c r="B748" s="34">
        <f t="shared" si="16"/>
        <v>22.866666666666667</v>
      </c>
      <c r="C748" s="5">
        <v>6</v>
      </c>
      <c r="D748" s="5">
        <f t="shared" si="15"/>
        <v>902.3</v>
      </c>
    </row>
    <row r="749" spans="1:4">
      <c r="A749" s="20">
        <v>747</v>
      </c>
      <c r="B749" s="34">
        <f t="shared" si="16"/>
        <v>22.9</v>
      </c>
      <c r="C749" s="5">
        <v>6</v>
      </c>
      <c r="D749" s="5">
        <f t="shared" si="15"/>
        <v>902.35</v>
      </c>
    </row>
    <row r="750" spans="1:4">
      <c r="A750" s="20">
        <v>748</v>
      </c>
      <c r="B750" s="34">
        <f t="shared" si="16"/>
        <v>22.933333333333334</v>
      </c>
      <c r="C750" s="5">
        <v>6</v>
      </c>
      <c r="D750" s="5">
        <f t="shared" si="15"/>
        <v>902.4</v>
      </c>
    </row>
    <row r="751" spans="1:4">
      <c r="A751" s="20">
        <v>749</v>
      </c>
      <c r="B751" s="34">
        <f t="shared" si="16"/>
        <v>22.966666666666669</v>
      </c>
      <c r="C751" s="5">
        <v>6</v>
      </c>
      <c r="D751" s="5">
        <f t="shared" si="15"/>
        <v>902.45</v>
      </c>
    </row>
    <row r="752" spans="1:4">
      <c r="A752" s="20">
        <v>750</v>
      </c>
      <c r="B752" s="34">
        <f t="shared" si="16"/>
        <v>23</v>
      </c>
      <c r="C752" s="5">
        <v>6</v>
      </c>
      <c r="D752" s="5">
        <f t="shared" si="15"/>
        <v>902.5</v>
      </c>
    </row>
    <row r="753" spans="1:4">
      <c r="A753" s="20">
        <v>751</v>
      </c>
      <c r="B753" s="34">
        <f t="shared" si="16"/>
        <v>23.033333333333331</v>
      </c>
      <c r="C753" s="5">
        <v>6</v>
      </c>
      <c r="D753" s="5">
        <f t="shared" si="15"/>
        <v>902.55</v>
      </c>
    </row>
    <row r="754" spans="1:4">
      <c r="A754" s="20">
        <v>752</v>
      </c>
      <c r="B754" s="34">
        <f t="shared" si="16"/>
        <v>23.066666666666666</v>
      </c>
      <c r="C754" s="5">
        <v>6</v>
      </c>
      <c r="D754" s="5">
        <f t="shared" si="15"/>
        <v>902.6</v>
      </c>
    </row>
    <row r="755" spans="1:4">
      <c r="A755" s="20">
        <v>753</v>
      </c>
      <c r="B755" s="34">
        <f t="shared" si="16"/>
        <v>23.1</v>
      </c>
      <c r="C755" s="5">
        <v>6</v>
      </c>
      <c r="D755" s="5">
        <f t="shared" si="15"/>
        <v>902.65</v>
      </c>
    </row>
    <row r="756" spans="1:4">
      <c r="A756" s="20">
        <v>754</v>
      </c>
      <c r="B756" s="34">
        <f t="shared" si="16"/>
        <v>23.133333333333333</v>
      </c>
      <c r="C756" s="5">
        <v>6</v>
      </c>
      <c r="D756" s="5">
        <f t="shared" si="15"/>
        <v>902.7</v>
      </c>
    </row>
    <row r="757" spans="1:4">
      <c r="A757" s="20">
        <v>755</v>
      </c>
      <c r="B757" s="34">
        <f t="shared" si="16"/>
        <v>23.166666666666664</v>
      </c>
      <c r="C757" s="5">
        <v>6</v>
      </c>
      <c r="D757" s="5">
        <f t="shared" si="15"/>
        <v>902.75</v>
      </c>
    </row>
    <row r="758" spans="1:4">
      <c r="A758" s="20">
        <v>756</v>
      </c>
      <c r="B758" s="34">
        <f t="shared" si="16"/>
        <v>23.2</v>
      </c>
      <c r="C758" s="5">
        <v>6</v>
      </c>
      <c r="D758" s="5">
        <f t="shared" si="15"/>
        <v>902.8</v>
      </c>
    </row>
    <row r="759" spans="1:4">
      <c r="A759" s="20">
        <v>757</v>
      </c>
      <c r="B759" s="34">
        <f t="shared" si="16"/>
        <v>23.233333333333334</v>
      </c>
      <c r="C759" s="5">
        <v>6</v>
      </c>
      <c r="D759" s="5">
        <f t="shared" si="15"/>
        <v>902.85</v>
      </c>
    </row>
    <row r="760" spans="1:4">
      <c r="A760" s="20">
        <v>758</v>
      </c>
      <c r="B760" s="34">
        <f t="shared" si="16"/>
        <v>23.266666666666666</v>
      </c>
      <c r="C760" s="5">
        <v>6</v>
      </c>
      <c r="D760" s="5">
        <f t="shared" si="15"/>
        <v>902.9</v>
      </c>
    </row>
    <row r="761" spans="1:4">
      <c r="A761" s="20">
        <v>759</v>
      </c>
      <c r="B761" s="34">
        <f t="shared" si="16"/>
        <v>23.3</v>
      </c>
      <c r="C761" s="5">
        <v>6</v>
      </c>
      <c r="D761" s="5">
        <f t="shared" si="15"/>
        <v>902.95</v>
      </c>
    </row>
    <row r="762" spans="1:4">
      <c r="A762" s="20">
        <v>760</v>
      </c>
      <c r="B762" s="34">
        <f t="shared" si="16"/>
        <v>23.333333333333336</v>
      </c>
      <c r="C762" s="5">
        <v>6</v>
      </c>
      <c r="D762" s="5">
        <f t="shared" si="15"/>
        <v>903</v>
      </c>
    </row>
    <row r="763" spans="1:4">
      <c r="A763" s="20">
        <v>761</v>
      </c>
      <c r="B763" s="34">
        <f t="shared" si="16"/>
        <v>23.366666666666667</v>
      </c>
      <c r="C763" s="5">
        <v>6</v>
      </c>
      <c r="D763" s="5">
        <f t="shared" si="15"/>
        <v>903.05</v>
      </c>
    </row>
    <row r="764" spans="1:4">
      <c r="A764" s="20">
        <v>762</v>
      </c>
      <c r="B764" s="34">
        <f t="shared" si="16"/>
        <v>23.4</v>
      </c>
      <c r="C764" s="5">
        <v>6</v>
      </c>
      <c r="D764" s="5">
        <f t="shared" si="15"/>
        <v>903.1</v>
      </c>
    </row>
    <row r="765" spans="1:4">
      <c r="A765" s="20">
        <v>763</v>
      </c>
      <c r="B765" s="34">
        <f t="shared" si="16"/>
        <v>23.433333333333334</v>
      </c>
      <c r="C765" s="5">
        <v>6</v>
      </c>
      <c r="D765" s="5">
        <f t="shared" si="15"/>
        <v>903.15</v>
      </c>
    </row>
    <row r="766" spans="1:4">
      <c r="A766" s="20">
        <v>764</v>
      </c>
      <c r="B766" s="34">
        <f t="shared" si="16"/>
        <v>23.466666666666669</v>
      </c>
      <c r="C766" s="5">
        <v>6</v>
      </c>
      <c r="D766" s="5">
        <f t="shared" si="15"/>
        <v>903.2</v>
      </c>
    </row>
    <row r="767" spans="1:4">
      <c r="A767" s="20">
        <v>765</v>
      </c>
      <c r="B767" s="34">
        <f t="shared" si="16"/>
        <v>23.5</v>
      </c>
      <c r="C767" s="5">
        <v>6</v>
      </c>
      <c r="D767" s="5">
        <f t="shared" si="15"/>
        <v>903.25</v>
      </c>
    </row>
    <row r="768" spans="1:4">
      <c r="A768" s="20">
        <v>766</v>
      </c>
      <c r="B768" s="34">
        <f t="shared" si="16"/>
        <v>23.533333333333331</v>
      </c>
      <c r="C768" s="5">
        <v>6</v>
      </c>
      <c r="D768" s="5">
        <f t="shared" si="15"/>
        <v>903.3</v>
      </c>
    </row>
    <row r="769" spans="1:4">
      <c r="A769" s="20">
        <v>767</v>
      </c>
      <c r="B769" s="34">
        <f t="shared" si="16"/>
        <v>23.566666666666666</v>
      </c>
      <c r="C769" s="5">
        <v>6</v>
      </c>
      <c r="D769" s="5">
        <f t="shared" si="15"/>
        <v>903.35</v>
      </c>
    </row>
    <row r="770" spans="1:4">
      <c r="A770" s="20">
        <v>768</v>
      </c>
      <c r="B770" s="34">
        <f t="shared" si="16"/>
        <v>23.6</v>
      </c>
      <c r="C770" s="5">
        <v>6</v>
      </c>
      <c r="D770" s="5">
        <f t="shared" si="15"/>
        <v>903.4</v>
      </c>
    </row>
    <row r="771" spans="1:4">
      <c r="A771" s="20">
        <v>769</v>
      </c>
      <c r="B771" s="34">
        <f t="shared" si="16"/>
        <v>23.633333333333333</v>
      </c>
      <c r="C771" s="5">
        <v>6</v>
      </c>
      <c r="D771" s="5">
        <f t="shared" si="15"/>
        <v>903.45</v>
      </c>
    </row>
    <row r="772" spans="1:4">
      <c r="A772" s="20">
        <v>770</v>
      </c>
      <c r="B772" s="34">
        <f t="shared" si="16"/>
        <v>23.666666666666664</v>
      </c>
      <c r="C772" s="5">
        <v>6</v>
      </c>
      <c r="D772" s="5">
        <f t="shared" si="15"/>
        <v>903.5</v>
      </c>
    </row>
    <row r="773" spans="1:4">
      <c r="A773" s="20">
        <v>771</v>
      </c>
      <c r="B773" s="34">
        <f t="shared" si="16"/>
        <v>23.7</v>
      </c>
      <c r="C773" s="5">
        <v>6</v>
      </c>
      <c r="D773" s="5">
        <f t="shared" si="15"/>
        <v>903.55</v>
      </c>
    </row>
    <row r="774" spans="1:4">
      <c r="A774" s="20">
        <v>772</v>
      </c>
      <c r="B774" s="34">
        <f t="shared" si="16"/>
        <v>23.733333333333334</v>
      </c>
      <c r="C774" s="5">
        <v>6</v>
      </c>
      <c r="D774" s="5">
        <f t="shared" si="15"/>
        <v>903.6</v>
      </c>
    </row>
    <row r="775" spans="1:4">
      <c r="A775" s="20">
        <v>773</v>
      </c>
      <c r="B775" s="34">
        <f t="shared" si="16"/>
        <v>23.766666666666666</v>
      </c>
      <c r="C775" s="5">
        <v>6</v>
      </c>
      <c r="D775" s="5">
        <f t="shared" si="15"/>
        <v>903.65</v>
      </c>
    </row>
    <row r="776" spans="1:4">
      <c r="A776" s="20">
        <v>774</v>
      </c>
      <c r="B776" s="34">
        <f t="shared" si="16"/>
        <v>23.8</v>
      </c>
      <c r="C776" s="5">
        <v>6</v>
      </c>
      <c r="D776" s="5">
        <f t="shared" si="15"/>
        <v>903.7</v>
      </c>
    </row>
    <row r="777" spans="1:4">
      <c r="A777" s="20">
        <v>775</v>
      </c>
      <c r="B777" s="34">
        <f t="shared" si="16"/>
        <v>23.833333333333336</v>
      </c>
      <c r="C777" s="5">
        <v>6</v>
      </c>
      <c r="D777" s="5">
        <f t="shared" si="15"/>
        <v>903.75</v>
      </c>
    </row>
    <row r="778" spans="1:4">
      <c r="A778" s="20">
        <v>776</v>
      </c>
      <c r="B778" s="34">
        <f t="shared" si="16"/>
        <v>23.866666666666667</v>
      </c>
      <c r="C778" s="5">
        <v>6</v>
      </c>
      <c r="D778" s="5">
        <f t="shared" si="15"/>
        <v>903.8</v>
      </c>
    </row>
    <row r="779" spans="1:4">
      <c r="A779" s="20">
        <v>777</v>
      </c>
      <c r="B779" s="34">
        <f t="shared" si="16"/>
        <v>23.9</v>
      </c>
      <c r="C779" s="5">
        <v>6</v>
      </c>
      <c r="D779" s="5">
        <f t="shared" si="15"/>
        <v>903.85</v>
      </c>
    </row>
    <row r="780" spans="1:4">
      <c r="A780" s="20">
        <v>778</v>
      </c>
      <c r="B780" s="34">
        <f t="shared" si="16"/>
        <v>23.933333333333334</v>
      </c>
      <c r="C780" s="5">
        <v>6</v>
      </c>
      <c r="D780" s="5">
        <f t="shared" si="15"/>
        <v>903.9</v>
      </c>
    </row>
    <row r="781" spans="1:4">
      <c r="A781" s="20">
        <v>779</v>
      </c>
      <c r="B781" s="34">
        <f t="shared" si="16"/>
        <v>23.966666666666669</v>
      </c>
      <c r="C781" s="5">
        <v>6</v>
      </c>
      <c r="D781" s="5">
        <f t="shared" si="15"/>
        <v>903.95</v>
      </c>
    </row>
    <row r="782" spans="1:4">
      <c r="A782" s="20">
        <v>780</v>
      </c>
      <c r="B782" s="5">
        <v>24</v>
      </c>
      <c r="C782" s="5">
        <v>6</v>
      </c>
      <c r="D782" s="5">
        <v>904</v>
      </c>
    </row>
    <row r="783" spans="1:4">
      <c r="A783" s="20">
        <v>781</v>
      </c>
      <c r="B783" s="5">
        <v>24</v>
      </c>
      <c r="C783" s="34">
        <f>(A783-$A$782)/60+6</f>
        <v>6.0166666666666666</v>
      </c>
      <c r="D783" s="34">
        <f>(A783-$A$782)/60*(861-904)+904</f>
        <v>903.2833333333333</v>
      </c>
    </row>
    <row r="784" spans="1:4">
      <c r="A784" s="20">
        <v>782</v>
      </c>
      <c r="B784" s="5">
        <v>24</v>
      </c>
      <c r="C784" s="34">
        <f t="shared" ref="C784:C843" si="17">(A784-$A$782)/60+6</f>
        <v>6.0333333333333332</v>
      </c>
      <c r="D784" s="34">
        <f t="shared" ref="D784:D841" si="18">(A784-$A$782)/60*(861-904)+904</f>
        <v>902.56666666666672</v>
      </c>
    </row>
    <row r="785" spans="1:4">
      <c r="A785" s="20">
        <v>783</v>
      </c>
      <c r="B785" s="5">
        <v>24</v>
      </c>
      <c r="C785" s="34">
        <f t="shared" si="17"/>
        <v>6.05</v>
      </c>
      <c r="D785" s="34">
        <f t="shared" si="18"/>
        <v>901.85</v>
      </c>
    </row>
    <row r="786" spans="1:4">
      <c r="A786" s="20">
        <v>784</v>
      </c>
      <c r="B786" s="5">
        <v>24</v>
      </c>
      <c r="C786" s="34">
        <f t="shared" si="17"/>
        <v>6.0666666666666664</v>
      </c>
      <c r="D786" s="34">
        <f t="shared" si="18"/>
        <v>901.13333333333333</v>
      </c>
    </row>
    <row r="787" spans="1:4">
      <c r="A787" s="20">
        <v>785</v>
      </c>
      <c r="B787" s="5">
        <v>24</v>
      </c>
      <c r="C787" s="34">
        <f t="shared" si="17"/>
        <v>6.083333333333333</v>
      </c>
      <c r="D787" s="34">
        <f t="shared" si="18"/>
        <v>900.41666666666663</v>
      </c>
    </row>
    <row r="788" spans="1:4">
      <c r="A788" s="20">
        <v>786</v>
      </c>
      <c r="B788" s="5">
        <v>24</v>
      </c>
      <c r="C788" s="34">
        <f t="shared" si="17"/>
        <v>6.1</v>
      </c>
      <c r="D788" s="34">
        <f t="shared" si="18"/>
        <v>899.7</v>
      </c>
    </row>
    <row r="789" spans="1:4">
      <c r="A789" s="20">
        <v>787</v>
      </c>
      <c r="B789" s="5">
        <v>24</v>
      </c>
      <c r="C789" s="34">
        <f t="shared" si="17"/>
        <v>6.1166666666666663</v>
      </c>
      <c r="D789" s="34">
        <f t="shared" si="18"/>
        <v>898.98333333333335</v>
      </c>
    </row>
    <row r="790" spans="1:4">
      <c r="A790" s="20">
        <v>788</v>
      </c>
      <c r="B790" s="5">
        <v>24</v>
      </c>
      <c r="C790" s="34">
        <f t="shared" si="17"/>
        <v>6.1333333333333337</v>
      </c>
      <c r="D790" s="34">
        <f t="shared" si="18"/>
        <v>898.26666666666665</v>
      </c>
    </row>
    <row r="791" spans="1:4">
      <c r="A791" s="20">
        <v>789</v>
      </c>
      <c r="B791" s="5">
        <v>24</v>
      </c>
      <c r="C791" s="34">
        <f t="shared" si="17"/>
        <v>6.15</v>
      </c>
      <c r="D791" s="34">
        <f t="shared" si="18"/>
        <v>897.55</v>
      </c>
    </row>
    <row r="792" spans="1:4">
      <c r="A792" s="20">
        <v>790</v>
      </c>
      <c r="B792" s="5">
        <v>24</v>
      </c>
      <c r="C792" s="34">
        <f t="shared" si="17"/>
        <v>6.166666666666667</v>
      </c>
      <c r="D792" s="34">
        <f t="shared" si="18"/>
        <v>896.83333333333337</v>
      </c>
    </row>
    <row r="793" spans="1:4">
      <c r="A793" s="20">
        <v>791</v>
      </c>
      <c r="B793" s="5">
        <v>24</v>
      </c>
      <c r="C793" s="34">
        <f t="shared" si="17"/>
        <v>6.1833333333333336</v>
      </c>
      <c r="D793" s="34">
        <f t="shared" si="18"/>
        <v>896.11666666666667</v>
      </c>
    </row>
    <row r="794" spans="1:4">
      <c r="A794" s="20">
        <v>792</v>
      </c>
      <c r="B794" s="5">
        <v>24</v>
      </c>
      <c r="C794" s="34">
        <f t="shared" si="17"/>
        <v>6.2</v>
      </c>
      <c r="D794" s="34">
        <f t="shared" si="18"/>
        <v>895.4</v>
      </c>
    </row>
    <row r="795" spans="1:4">
      <c r="A795" s="20">
        <v>793</v>
      </c>
      <c r="B795" s="5">
        <v>24</v>
      </c>
      <c r="C795" s="34">
        <f t="shared" si="17"/>
        <v>6.2166666666666668</v>
      </c>
      <c r="D795" s="34">
        <f t="shared" si="18"/>
        <v>894.68333333333328</v>
      </c>
    </row>
    <row r="796" spans="1:4">
      <c r="A796" s="20">
        <v>794</v>
      </c>
      <c r="B796" s="5">
        <v>24</v>
      </c>
      <c r="C796" s="34">
        <f t="shared" si="17"/>
        <v>6.2333333333333334</v>
      </c>
      <c r="D796" s="34">
        <f t="shared" si="18"/>
        <v>893.9666666666667</v>
      </c>
    </row>
    <row r="797" spans="1:4">
      <c r="A797" s="20">
        <v>795</v>
      </c>
      <c r="B797" s="5">
        <v>24</v>
      </c>
      <c r="C797" s="34">
        <f t="shared" si="17"/>
        <v>6.25</v>
      </c>
      <c r="D797" s="34">
        <f t="shared" si="18"/>
        <v>893.25</v>
      </c>
    </row>
    <row r="798" spans="1:4">
      <c r="A798" s="20">
        <v>796</v>
      </c>
      <c r="B798" s="5">
        <v>24</v>
      </c>
      <c r="C798" s="34">
        <f t="shared" si="17"/>
        <v>6.2666666666666666</v>
      </c>
      <c r="D798" s="34">
        <f t="shared" si="18"/>
        <v>892.5333333333333</v>
      </c>
    </row>
    <row r="799" spans="1:4">
      <c r="A799" s="20">
        <v>797</v>
      </c>
      <c r="B799" s="5">
        <v>24</v>
      </c>
      <c r="C799" s="34">
        <f t="shared" si="17"/>
        <v>6.2833333333333332</v>
      </c>
      <c r="D799" s="34">
        <f t="shared" si="18"/>
        <v>891.81666666666672</v>
      </c>
    </row>
    <row r="800" spans="1:4">
      <c r="A800" s="20">
        <v>798</v>
      </c>
      <c r="B800" s="5">
        <v>24</v>
      </c>
      <c r="C800" s="34">
        <f t="shared" si="17"/>
        <v>6.3</v>
      </c>
      <c r="D800" s="34">
        <f t="shared" si="18"/>
        <v>891.1</v>
      </c>
    </row>
    <row r="801" spans="1:4">
      <c r="A801" s="20">
        <v>799</v>
      </c>
      <c r="B801" s="5">
        <v>24</v>
      </c>
      <c r="C801" s="34">
        <f t="shared" si="17"/>
        <v>6.3166666666666664</v>
      </c>
      <c r="D801" s="34">
        <f t="shared" si="18"/>
        <v>890.38333333333333</v>
      </c>
    </row>
    <row r="802" spans="1:4">
      <c r="A802" s="20">
        <v>800</v>
      </c>
      <c r="B802" s="5">
        <v>24</v>
      </c>
      <c r="C802" s="34">
        <f t="shared" si="17"/>
        <v>6.333333333333333</v>
      </c>
      <c r="D802" s="34">
        <f t="shared" si="18"/>
        <v>889.66666666666663</v>
      </c>
    </row>
    <row r="803" spans="1:4">
      <c r="A803" s="20">
        <v>801</v>
      </c>
      <c r="B803" s="5">
        <v>24</v>
      </c>
      <c r="C803" s="34">
        <f t="shared" si="17"/>
        <v>6.35</v>
      </c>
      <c r="D803" s="34">
        <f t="shared" si="18"/>
        <v>888.95</v>
      </c>
    </row>
    <row r="804" spans="1:4">
      <c r="A804" s="20">
        <v>802</v>
      </c>
      <c r="B804" s="5">
        <v>24</v>
      </c>
      <c r="C804" s="34">
        <f t="shared" si="17"/>
        <v>6.3666666666666663</v>
      </c>
      <c r="D804" s="34">
        <f t="shared" si="18"/>
        <v>888.23333333333335</v>
      </c>
    </row>
    <row r="805" spans="1:4">
      <c r="A805" s="20">
        <v>803</v>
      </c>
      <c r="B805" s="5">
        <v>24</v>
      </c>
      <c r="C805" s="34">
        <f t="shared" si="17"/>
        <v>6.3833333333333337</v>
      </c>
      <c r="D805" s="34">
        <f t="shared" si="18"/>
        <v>887.51666666666665</v>
      </c>
    </row>
    <row r="806" spans="1:4">
      <c r="A806" s="20">
        <v>804</v>
      </c>
      <c r="B806" s="5">
        <v>24</v>
      </c>
      <c r="C806" s="34">
        <f t="shared" si="17"/>
        <v>6.4</v>
      </c>
      <c r="D806" s="34">
        <f t="shared" si="18"/>
        <v>886.8</v>
      </c>
    </row>
    <row r="807" spans="1:4">
      <c r="A807" s="20">
        <v>805</v>
      </c>
      <c r="B807" s="5">
        <v>24</v>
      </c>
      <c r="C807" s="34">
        <f t="shared" si="17"/>
        <v>6.416666666666667</v>
      </c>
      <c r="D807" s="34">
        <f t="shared" si="18"/>
        <v>886.08333333333337</v>
      </c>
    </row>
    <row r="808" spans="1:4">
      <c r="A808" s="20">
        <v>806</v>
      </c>
      <c r="B808" s="5">
        <v>24</v>
      </c>
      <c r="C808" s="34">
        <f t="shared" si="17"/>
        <v>6.4333333333333336</v>
      </c>
      <c r="D808" s="34">
        <f t="shared" si="18"/>
        <v>885.36666666666667</v>
      </c>
    </row>
    <row r="809" spans="1:4">
      <c r="A809" s="20">
        <v>807</v>
      </c>
      <c r="B809" s="5">
        <v>24</v>
      </c>
      <c r="C809" s="34">
        <f t="shared" si="17"/>
        <v>6.45</v>
      </c>
      <c r="D809" s="34">
        <f t="shared" si="18"/>
        <v>884.65</v>
      </c>
    </row>
    <row r="810" spans="1:4">
      <c r="A810" s="20">
        <v>808</v>
      </c>
      <c r="B810" s="5">
        <v>24</v>
      </c>
      <c r="C810" s="34">
        <f t="shared" si="17"/>
        <v>6.4666666666666668</v>
      </c>
      <c r="D810" s="34">
        <f t="shared" si="18"/>
        <v>883.93333333333328</v>
      </c>
    </row>
    <row r="811" spans="1:4">
      <c r="A811" s="20">
        <v>809</v>
      </c>
      <c r="B811" s="5">
        <v>24</v>
      </c>
      <c r="C811" s="34">
        <f t="shared" si="17"/>
        <v>6.4833333333333334</v>
      </c>
      <c r="D811" s="34">
        <f t="shared" si="18"/>
        <v>883.2166666666667</v>
      </c>
    </row>
    <row r="812" spans="1:4">
      <c r="A812" s="20">
        <v>810</v>
      </c>
      <c r="B812" s="5">
        <v>24</v>
      </c>
      <c r="C812" s="34">
        <f t="shared" si="17"/>
        <v>6.5</v>
      </c>
      <c r="D812" s="34">
        <f t="shared" si="18"/>
        <v>882.5</v>
      </c>
    </row>
    <row r="813" spans="1:4">
      <c r="A813" s="20">
        <v>811</v>
      </c>
      <c r="B813" s="5">
        <v>24</v>
      </c>
      <c r="C813" s="34">
        <f t="shared" si="17"/>
        <v>6.5166666666666666</v>
      </c>
      <c r="D813" s="34">
        <f t="shared" si="18"/>
        <v>881.7833333333333</v>
      </c>
    </row>
    <row r="814" spans="1:4">
      <c r="A814" s="20">
        <v>812</v>
      </c>
      <c r="B814" s="5">
        <v>24</v>
      </c>
      <c r="C814" s="34">
        <f t="shared" si="17"/>
        <v>6.5333333333333332</v>
      </c>
      <c r="D814" s="34">
        <f t="shared" si="18"/>
        <v>881.06666666666672</v>
      </c>
    </row>
    <row r="815" spans="1:4">
      <c r="A815" s="20">
        <v>813</v>
      </c>
      <c r="B815" s="5">
        <v>24</v>
      </c>
      <c r="C815" s="34">
        <f t="shared" si="17"/>
        <v>6.55</v>
      </c>
      <c r="D815" s="34">
        <f t="shared" si="18"/>
        <v>880.35</v>
      </c>
    </row>
    <row r="816" spans="1:4">
      <c r="A816" s="20">
        <v>814</v>
      </c>
      <c r="B816" s="5">
        <v>24</v>
      </c>
      <c r="C816" s="34">
        <f t="shared" si="17"/>
        <v>6.5666666666666664</v>
      </c>
      <c r="D816" s="34">
        <f t="shared" si="18"/>
        <v>879.63333333333333</v>
      </c>
    </row>
    <row r="817" spans="1:4">
      <c r="A817" s="20">
        <v>815</v>
      </c>
      <c r="B817" s="5">
        <v>24</v>
      </c>
      <c r="C817" s="34">
        <f t="shared" si="17"/>
        <v>6.583333333333333</v>
      </c>
      <c r="D817" s="34">
        <f t="shared" si="18"/>
        <v>878.91666666666663</v>
      </c>
    </row>
    <row r="818" spans="1:4">
      <c r="A818" s="20">
        <v>816</v>
      </c>
      <c r="B818" s="5">
        <v>24</v>
      </c>
      <c r="C818" s="34">
        <f t="shared" si="17"/>
        <v>6.6</v>
      </c>
      <c r="D818" s="34">
        <f t="shared" si="18"/>
        <v>878.2</v>
      </c>
    </row>
    <row r="819" spans="1:4">
      <c r="A819" s="20">
        <v>817</v>
      </c>
      <c r="B819" s="5">
        <v>24</v>
      </c>
      <c r="C819" s="34">
        <f t="shared" si="17"/>
        <v>6.6166666666666671</v>
      </c>
      <c r="D819" s="34">
        <f t="shared" si="18"/>
        <v>877.48333333333335</v>
      </c>
    </row>
    <row r="820" spans="1:4">
      <c r="A820" s="20">
        <v>818</v>
      </c>
      <c r="B820" s="5">
        <v>24</v>
      </c>
      <c r="C820" s="34">
        <f t="shared" si="17"/>
        <v>6.6333333333333329</v>
      </c>
      <c r="D820" s="34">
        <f t="shared" si="18"/>
        <v>876.76666666666665</v>
      </c>
    </row>
    <row r="821" spans="1:4">
      <c r="A821" s="20">
        <v>819</v>
      </c>
      <c r="B821" s="5">
        <v>24</v>
      </c>
      <c r="C821" s="34">
        <f t="shared" si="17"/>
        <v>6.65</v>
      </c>
      <c r="D821" s="34">
        <f t="shared" si="18"/>
        <v>876.05</v>
      </c>
    </row>
    <row r="822" spans="1:4">
      <c r="A822" s="20">
        <v>820</v>
      </c>
      <c r="B822" s="5">
        <v>24</v>
      </c>
      <c r="C822" s="34">
        <f t="shared" si="17"/>
        <v>6.666666666666667</v>
      </c>
      <c r="D822" s="34">
        <f t="shared" si="18"/>
        <v>875.33333333333337</v>
      </c>
    </row>
    <row r="823" spans="1:4">
      <c r="A823" s="20">
        <v>821</v>
      </c>
      <c r="B823" s="5">
        <v>24</v>
      </c>
      <c r="C823" s="34">
        <f t="shared" si="17"/>
        <v>6.6833333333333336</v>
      </c>
      <c r="D823" s="34">
        <f t="shared" si="18"/>
        <v>874.61666666666667</v>
      </c>
    </row>
    <row r="824" spans="1:4">
      <c r="A824" s="20">
        <v>822</v>
      </c>
      <c r="B824" s="5">
        <v>24</v>
      </c>
      <c r="C824" s="34">
        <f t="shared" si="17"/>
        <v>6.7</v>
      </c>
      <c r="D824" s="34">
        <f t="shared" si="18"/>
        <v>873.9</v>
      </c>
    </row>
    <row r="825" spans="1:4">
      <c r="A825" s="20">
        <v>823</v>
      </c>
      <c r="B825" s="5">
        <v>24</v>
      </c>
      <c r="C825" s="34">
        <f t="shared" si="17"/>
        <v>6.7166666666666668</v>
      </c>
      <c r="D825" s="34">
        <f t="shared" si="18"/>
        <v>873.18333333333328</v>
      </c>
    </row>
    <row r="826" spans="1:4">
      <c r="A826" s="20">
        <v>824</v>
      </c>
      <c r="B826" s="5">
        <v>24</v>
      </c>
      <c r="C826" s="34">
        <f t="shared" si="17"/>
        <v>6.7333333333333334</v>
      </c>
      <c r="D826" s="34">
        <f t="shared" si="18"/>
        <v>872.4666666666667</v>
      </c>
    </row>
    <row r="827" spans="1:4">
      <c r="A827" s="20">
        <v>825</v>
      </c>
      <c r="B827" s="5">
        <v>24</v>
      </c>
      <c r="C827" s="34">
        <f t="shared" si="17"/>
        <v>6.75</v>
      </c>
      <c r="D827" s="34">
        <f t="shared" si="18"/>
        <v>871.75</v>
      </c>
    </row>
    <row r="828" spans="1:4">
      <c r="A828" s="20">
        <v>826</v>
      </c>
      <c r="B828" s="5">
        <v>24</v>
      </c>
      <c r="C828" s="34">
        <f t="shared" si="17"/>
        <v>6.7666666666666666</v>
      </c>
      <c r="D828" s="34">
        <f t="shared" si="18"/>
        <v>871.0333333333333</v>
      </c>
    </row>
    <row r="829" spans="1:4">
      <c r="A829" s="20">
        <v>827</v>
      </c>
      <c r="B829" s="5">
        <v>24</v>
      </c>
      <c r="C829" s="34">
        <f t="shared" si="17"/>
        <v>6.7833333333333332</v>
      </c>
      <c r="D829" s="34">
        <f t="shared" si="18"/>
        <v>870.31666666666672</v>
      </c>
    </row>
    <row r="830" spans="1:4">
      <c r="A830" s="20">
        <v>828</v>
      </c>
      <c r="B830" s="5">
        <v>24</v>
      </c>
      <c r="C830" s="34">
        <f t="shared" si="17"/>
        <v>6.8</v>
      </c>
      <c r="D830" s="34">
        <f t="shared" si="18"/>
        <v>869.6</v>
      </c>
    </row>
    <row r="831" spans="1:4">
      <c r="A831" s="20">
        <v>829</v>
      </c>
      <c r="B831" s="5">
        <v>24</v>
      </c>
      <c r="C831" s="34">
        <f t="shared" si="17"/>
        <v>6.8166666666666664</v>
      </c>
      <c r="D831" s="34">
        <f t="shared" si="18"/>
        <v>868.88333333333333</v>
      </c>
    </row>
    <row r="832" spans="1:4">
      <c r="A832" s="20">
        <v>830</v>
      </c>
      <c r="B832" s="5">
        <v>24</v>
      </c>
      <c r="C832" s="34">
        <f t="shared" si="17"/>
        <v>6.833333333333333</v>
      </c>
      <c r="D832" s="34">
        <f t="shared" si="18"/>
        <v>868.16666666666663</v>
      </c>
    </row>
    <row r="833" spans="1:4">
      <c r="A833" s="20">
        <v>831</v>
      </c>
      <c r="B833" s="5">
        <v>24</v>
      </c>
      <c r="C833" s="34">
        <f t="shared" si="17"/>
        <v>6.85</v>
      </c>
      <c r="D833" s="34">
        <f t="shared" si="18"/>
        <v>867.45</v>
      </c>
    </row>
    <row r="834" spans="1:4">
      <c r="A834" s="20">
        <v>832</v>
      </c>
      <c r="B834" s="5">
        <v>24</v>
      </c>
      <c r="C834" s="34">
        <f t="shared" si="17"/>
        <v>6.8666666666666671</v>
      </c>
      <c r="D834" s="34">
        <f t="shared" si="18"/>
        <v>866.73333333333335</v>
      </c>
    </row>
    <row r="835" spans="1:4">
      <c r="A835" s="20">
        <v>833</v>
      </c>
      <c r="B835" s="5">
        <v>24</v>
      </c>
      <c r="C835" s="34">
        <f t="shared" si="17"/>
        <v>6.8833333333333329</v>
      </c>
      <c r="D835" s="34">
        <f t="shared" si="18"/>
        <v>866.01666666666665</v>
      </c>
    </row>
    <row r="836" spans="1:4">
      <c r="A836" s="20">
        <v>834</v>
      </c>
      <c r="B836" s="5">
        <v>24</v>
      </c>
      <c r="C836" s="34">
        <f t="shared" si="17"/>
        <v>6.9</v>
      </c>
      <c r="D836" s="34">
        <f t="shared" si="18"/>
        <v>865.3</v>
      </c>
    </row>
    <row r="837" spans="1:4">
      <c r="A837" s="20">
        <v>835</v>
      </c>
      <c r="B837" s="5">
        <v>24</v>
      </c>
      <c r="C837" s="34">
        <f t="shared" si="17"/>
        <v>6.916666666666667</v>
      </c>
      <c r="D837" s="34">
        <f t="shared" si="18"/>
        <v>864.58333333333337</v>
      </c>
    </row>
    <row r="838" spans="1:4">
      <c r="A838" s="20">
        <v>836</v>
      </c>
      <c r="B838" s="5">
        <v>24</v>
      </c>
      <c r="C838" s="34">
        <f t="shared" si="17"/>
        <v>6.9333333333333336</v>
      </c>
      <c r="D838" s="34">
        <f t="shared" si="18"/>
        <v>863.86666666666667</v>
      </c>
    </row>
    <row r="839" spans="1:4">
      <c r="A839" s="20">
        <v>837</v>
      </c>
      <c r="B839" s="5">
        <v>24</v>
      </c>
      <c r="C839" s="34">
        <f t="shared" si="17"/>
        <v>6.95</v>
      </c>
      <c r="D839" s="34">
        <f t="shared" si="18"/>
        <v>863.15</v>
      </c>
    </row>
    <row r="840" spans="1:4">
      <c r="A840" s="20">
        <v>838</v>
      </c>
      <c r="B840" s="5">
        <v>24</v>
      </c>
      <c r="C840" s="34">
        <f t="shared" si="17"/>
        <v>6.9666666666666668</v>
      </c>
      <c r="D840" s="34">
        <f t="shared" si="18"/>
        <v>862.43333333333328</v>
      </c>
    </row>
    <row r="841" spans="1:4">
      <c r="A841" s="20">
        <v>839</v>
      </c>
      <c r="B841" s="5">
        <v>24</v>
      </c>
      <c r="C841" s="34">
        <f t="shared" si="17"/>
        <v>6.9833333333333334</v>
      </c>
      <c r="D841" s="34">
        <f t="shared" si="18"/>
        <v>861.7166666666667</v>
      </c>
    </row>
    <row r="842" spans="1:4">
      <c r="A842" s="20">
        <v>840</v>
      </c>
      <c r="B842" s="5">
        <v>24</v>
      </c>
      <c r="C842" s="34">
        <v>7</v>
      </c>
      <c r="D842" s="5">
        <v>861</v>
      </c>
    </row>
    <row r="843" spans="1:4">
      <c r="A843" s="20">
        <v>841</v>
      </c>
      <c r="B843" s="34">
        <f>(A843-$A$842)*-1/60+$B$842</f>
        <v>23.983333333333334</v>
      </c>
      <c r="C843" s="34">
        <f>(A843-$A$842)/-60+7</f>
        <v>6.9833333333333334</v>
      </c>
      <c r="D843" s="34">
        <f>(A843-$A$842)*(752-861)/60+861</f>
        <v>859.18333333333328</v>
      </c>
    </row>
    <row r="844" spans="1:4">
      <c r="A844" s="20">
        <v>842</v>
      </c>
      <c r="B844" s="34">
        <f t="shared" ref="B844:B902" si="19">(A844-$A$842)*-1/60+$B$842</f>
        <v>23.966666666666665</v>
      </c>
      <c r="C844" s="34">
        <f t="shared" ref="C844:C901" si="20">(A844-$A$842)/-60+7</f>
        <v>6.9666666666666668</v>
      </c>
      <c r="D844" s="34">
        <f t="shared" ref="D844:D901" si="21">(A844-$A$842)*(752-861)/60+861</f>
        <v>857.36666666666667</v>
      </c>
    </row>
    <row r="845" spans="1:4">
      <c r="A845" s="20">
        <v>843</v>
      </c>
      <c r="B845" s="34">
        <f t="shared" si="19"/>
        <v>23.95</v>
      </c>
      <c r="C845" s="34">
        <f t="shared" si="20"/>
        <v>6.95</v>
      </c>
      <c r="D845" s="34">
        <f t="shared" si="21"/>
        <v>855.55</v>
      </c>
    </row>
    <row r="846" spans="1:4">
      <c r="A846" s="20">
        <v>844</v>
      </c>
      <c r="B846" s="34">
        <f t="shared" si="19"/>
        <v>23.933333333333334</v>
      </c>
      <c r="C846" s="34">
        <f t="shared" si="20"/>
        <v>6.9333333333333336</v>
      </c>
      <c r="D846" s="34">
        <f t="shared" si="21"/>
        <v>853.73333333333335</v>
      </c>
    </row>
    <row r="847" spans="1:4">
      <c r="A847" s="20">
        <v>845</v>
      </c>
      <c r="B847" s="34">
        <f t="shared" si="19"/>
        <v>23.916666666666668</v>
      </c>
      <c r="C847" s="34">
        <f t="shared" si="20"/>
        <v>6.916666666666667</v>
      </c>
      <c r="D847" s="34">
        <f t="shared" si="21"/>
        <v>851.91666666666663</v>
      </c>
    </row>
    <row r="848" spans="1:4">
      <c r="A848" s="20">
        <v>846</v>
      </c>
      <c r="B848" s="34">
        <f t="shared" si="19"/>
        <v>23.9</v>
      </c>
      <c r="C848" s="34">
        <f t="shared" si="20"/>
        <v>6.9</v>
      </c>
      <c r="D848" s="34">
        <f t="shared" si="21"/>
        <v>850.1</v>
      </c>
    </row>
    <row r="849" spans="1:4">
      <c r="A849" s="20">
        <v>847</v>
      </c>
      <c r="B849" s="34">
        <f t="shared" si="19"/>
        <v>23.883333333333333</v>
      </c>
      <c r="C849" s="34">
        <f t="shared" si="20"/>
        <v>6.8833333333333337</v>
      </c>
      <c r="D849" s="34">
        <f t="shared" si="21"/>
        <v>848.2833333333333</v>
      </c>
    </row>
    <row r="850" spans="1:4">
      <c r="A850" s="20">
        <v>848</v>
      </c>
      <c r="B850" s="34">
        <f t="shared" si="19"/>
        <v>23.866666666666667</v>
      </c>
      <c r="C850" s="34">
        <f t="shared" si="20"/>
        <v>6.8666666666666663</v>
      </c>
      <c r="D850" s="34">
        <f t="shared" si="21"/>
        <v>846.4666666666667</v>
      </c>
    </row>
    <row r="851" spans="1:4">
      <c r="A851" s="20">
        <v>849</v>
      </c>
      <c r="B851" s="34">
        <f t="shared" si="19"/>
        <v>23.85</v>
      </c>
      <c r="C851" s="34">
        <f t="shared" si="20"/>
        <v>6.85</v>
      </c>
      <c r="D851" s="34">
        <f t="shared" si="21"/>
        <v>844.65</v>
      </c>
    </row>
    <row r="852" spans="1:4">
      <c r="A852" s="20">
        <v>850</v>
      </c>
      <c r="B852" s="34">
        <f t="shared" si="19"/>
        <v>23.833333333333332</v>
      </c>
      <c r="C852" s="34">
        <f t="shared" si="20"/>
        <v>6.833333333333333</v>
      </c>
      <c r="D852" s="34">
        <f t="shared" si="21"/>
        <v>842.83333333333337</v>
      </c>
    </row>
    <row r="853" spans="1:4">
      <c r="A853" s="20">
        <v>851</v>
      </c>
      <c r="B853" s="34">
        <f t="shared" si="19"/>
        <v>23.816666666666666</v>
      </c>
      <c r="C853" s="34">
        <f t="shared" si="20"/>
        <v>6.8166666666666664</v>
      </c>
      <c r="D853" s="34">
        <f t="shared" si="21"/>
        <v>841.01666666666665</v>
      </c>
    </row>
    <row r="854" spans="1:4">
      <c r="A854" s="20">
        <v>852</v>
      </c>
      <c r="B854" s="34">
        <f t="shared" si="19"/>
        <v>23.8</v>
      </c>
      <c r="C854" s="34">
        <f t="shared" si="20"/>
        <v>6.8</v>
      </c>
      <c r="D854" s="34">
        <f t="shared" si="21"/>
        <v>839.2</v>
      </c>
    </row>
    <row r="855" spans="1:4">
      <c r="A855" s="20">
        <v>853</v>
      </c>
      <c r="B855" s="34">
        <f t="shared" si="19"/>
        <v>23.783333333333335</v>
      </c>
      <c r="C855" s="34">
        <f t="shared" si="20"/>
        <v>6.7833333333333332</v>
      </c>
      <c r="D855" s="34">
        <f t="shared" si="21"/>
        <v>837.38333333333333</v>
      </c>
    </row>
    <row r="856" spans="1:4">
      <c r="A856" s="20">
        <v>854</v>
      </c>
      <c r="B856" s="34">
        <f t="shared" si="19"/>
        <v>23.766666666666666</v>
      </c>
      <c r="C856" s="34">
        <f t="shared" si="20"/>
        <v>6.7666666666666666</v>
      </c>
      <c r="D856" s="34">
        <f t="shared" si="21"/>
        <v>835.56666666666672</v>
      </c>
    </row>
    <row r="857" spans="1:4">
      <c r="A857" s="20">
        <v>855</v>
      </c>
      <c r="B857" s="34">
        <f t="shared" si="19"/>
        <v>23.75</v>
      </c>
      <c r="C857" s="34">
        <f t="shared" si="20"/>
        <v>6.75</v>
      </c>
      <c r="D857" s="34">
        <f t="shared" si="21"/>
        <v>833.75</v>
      </c>
    </row>
    <row r="858" spans="1:4">
      <c r="A858" s="20">
        <v>856</v>
      </c>
      <c r="B858" s="34">
        <f t="shared" si="19"/>
        <v>23.733333333333334</v>
      </c>
      <c r="C858" s="34">
        <f t="shared" si="20"/>
        <v>6.7333333333333334</v>
      </c>
      <c r="D858" s="34">
        <f t="shared" si="21"/>
        <v>831.93333333333328</v>
      </c>
    </row>
    <row r="859" spans="1:4">
      <c r="A859" s="20">
        <v>857</v>
      </c>
      <c r="B859" s="34">
        <f t="shared" si="19"/>
        <v>23.716666666666665</v>
      </c>
      <c r="C859" s="34">
        <f t="shared" si="20"/>
        <v>6.7166666666666668</v>
      </c>
      <c r="D859" s="34">
        <f t="shared" si="21"/>
        <v>830.11666666666667</v>
      </c>
    </row>
    <row r="860" spans="1:4">
      <c r="A860" s="20">
        <v>858</v>
      </c>
      <c r="B860" s="34">
        <f t="shared" si="19"/>
        <v>23.7</v>
      </c>
      <c r="C860" s="34">
        <f t="shared" si="20"/>
        <v>6.7</v>
      </c>
      <c r="D860" s="34">
        <f t="shared" si="21"/>
        <v>828.3</v>
      </c>
    </row>
    <row r="861" spans="1:4">
      <c r="A861" s="20">
        <v>859</v>
      </c>
      <c r="B861" s="34">
        <f t="shared" si="19"/>
        <v>23.683333333333334</v>
      </c>
      <c r="C861" s="34">
        <f t="shared" si="20"/>
        <v>6.6833333333333336</v>
      </c>
      <c r="D861" s="34">
        <f t="shared" si="21"/>
        <v>826.48333333333335</v>
      </c>
    </row>
    <row r="862" spans="1:4">
      <c r="A862" s="20">
        <v>860</v>
      </c>
      <c r="B862" s="34">
        <f t="shared" si="19"/>
        <v>23.666666666666668</v>
      </c>
      <c r="C862" s="34">
        <f t="shared" si="20"/>
        <v>6.666666666666667</v>
      </c>
      <c r="D862" s="34">
        <f t="shared" si="21"/>
        <v>824.66666666666663</v>
      </c>
    </row>
    <row r="863" spans="1:4">
      <c r="A863" s="20">
        <v>861</v>
      </c>
      <c r="B863" s="34">
        <f t="shared" si="19"/>
        <v>23.65</v>
      </c>
      <c r="C863" s="34">
        <f t="shared" si="20"/>
        <v>6.65</v>
      </c>
      <c r="D863" s="34">
        <f t="shared" si="21"/>
        <v>822.85</v>
      </c>
    </row>
    <row r="864" spans="1:4">
      <c r="A864" s="20">
        <v>862</v>
      </c>
      <c r="B864" s="34">
        <f t="shared" si="19"/>
        <v>23.633333333333333</v>
      </c>
      <c r="C864" s="34">
        <f t="shared" si="20"/>
        <v>6.6333333333333337</v>
      </c>
      <c r="D864" s="34">
        <f t="shared" si="21"/>
        <v>821.0333333333333</v>
      </c>
    </row>
    <row r="865" spans="1:4">
      <c r="A865" s="20">
        <v>863</v>
      </c>
      <c r="B865" s="34">
        <f t="shared" si="19"/>
        <v>23.616666666666667</v>
      </c>
      <c r="C865" s="34">
        <f t="shared" si="20"/>
        <v>6.6166666666666663</v>
      </c>
      <c r="D865" s="34">
        <f t="shared" si="21"/>
        <v>819.2166666666667</v>
      </c>
    </row>
    <row r="866" spans="1:4">
      <c r="A866" s="20">
        <v>864</v>
      </c>
      <c r="B866" s="34">
        <f t="shared" si="19"/>
        <v>23.6</v>
      </c>
      <c r="C866" s="34">
        <f t="shared" si="20"/>
        <v>6.6</v>
      </c>
      <c r="D866" s="34">
        <f t="shared" si="21"/>
        <v>817.4</v>
      </c>
    </row>
    <row r="867" spans="1:4">
      <c r="A867" s="20">
        <v>865</v>
      </c>
      <c r="B867" s="34">
        <f t="shared" si="19"/>
        <v>23.583333333333332</v>
      </c>
      <c r="C867" s="34">
        <f t="shared" si="20"/>
        <v>6.583333333333333</v>
      </c>
      <c r="D867" s="34">
        <f t="shared" si="21"/>
        <v>815.58333333333337</v>
      </c>
    </row>
    <row r="868" spans="1:4">
      <c r="A868" s="20">
        <v>866</v>
      </c>
      <c r="B868" s="34">
        <f t="shared" si="19"/>
        <v>23.566666666666666</v>
      </c>
      <c r="C868" s="34">
        <f t="shared" si="20"/>
        <v>6.5666666666666664</v>
      </c>
      <c r="D868" s="34">
        <f t="shared" si="21"/>
        <v>813.76666666666665</v>
      </c>
    </row>
    <row r="869" spans="1:4">
      <c r="A869" s="20">
        <v>867</v>
      </c>
      <c r="B869" s="34">
        <f t="shared" si="19"/>
        <v>23.55</v>
      </c>
      <c r="C869" s="34">
        <f t="shared" si="20"/>
        <v>6.55</v>
      </c>
      <c r="D869" s="34">
        <f t="shared" si="21"/>
        <v>811.95</v>
      </c>
    </row>
    <row r="870" spans="1:4">
      <c r="A870" s="20">
        <v>868</v>
      </c>
      <c r="B870" s="34">
        <f t="shared" si="19"/>
        <v>23.533333333333335</v>
      </c>
      <c r="C870" s="34">
        <f t="shared" si="20"/>
        <v>6.5333333333333332</v>
      </c>
      <c r="D870" s="34">
        <f t="shared" si="21"/>
        <v>810.13333333333333</v>
      </c>
    </row>
    <row r="871" spans="1:4">
      <c r="A871" s="20">
        <v>869</v>
      </c>
      <c r="B871" s="34">
        <f t="shared" si="19"/>
        <v>23.516666666666666</v>
      </c>
      <c r="C871" s="34">
        <f t="shared" si="20"/>
        <v>6.5166666666666666</v>
      </c>
      <c r="D871" s="34">
        <f t="shared" si="21"/>
        <v>808.31666666666672</v>
      </c>
    </row>
    <row r="872" spans="1:4">
      <c r="A872" s="20">
        <v>870</v>
      </c>
      <c r="B872" s="34">
        <f t="shared" si="19"/>
        <v>23.5</v>
      </c>
      <c r="C872" s="34">
        <f t="shared" si="20"/>
        <v>6.5</v>
      </c>
      <c r="D872" s="34">
        <f t="shared" si="21"/>
        <v>806.5</v>
      </c>
    </row>
    <row r="873" spans="1:4">
      <c r="A873" s="20">
        <v>871</v>
      </c>
      <c r="B873" s="34">
        <f t="shared" si="19"/>
        <v>23.483333333333334</v>
      </c>
      <c r="C873" s="34">
        <f t="shared" si="20"/>
        <v>6.4833333333333334</v>
      </c>
      <c r="D873" s="34">
        <f t="shared" si="21"/>
        <v>804.68333333333328</v>
      </c>
    </row>
    <row r="874" spans="1:4">
      <c r="A874" s="20">
        <v>872</v>
      </c>
      <c r="B874" s="34">
        <f t="shared" si="19"/>
        <v>23.466666666666665</v>
      </c>
      <c r="C874" s="34">
        <f t="shared" si="20"/>
        <v>6.4666666666666668</v>
      </c>
      <c r="D874" s="34">
        <f t="shared" si="21"/>
        <v>802.86666666666667</v>
      </c>
    </row>
    <row r="875" spans="1:4">
      <c r="A875" s="20">
        <v>873</v>
      </c>
      <c r="B875" s="34">
        <f t="shared" si="19"/>
        <v>23.45</v>
      </c>
      <c r="C875" s="34">
        <f t="shared" si="20"/>
        <v>6.45</v>
      </c>
      <c r="D875" s="34">
        <f t="shared" si="21"/>
        <v>801.05</v>
      </c>
    </row>
    <row r="876" spans="1:4">
      <c r="A876" s="20">
        <v>874</v>
      </c>
      <c r="B876" s="34">
        <f t="shared" si="19"/>
        <v>23.433333333333334</v>
      </c>
      <c r="C876" s="34">
        <f t="shared" si="20"/>
        <v>6.4333333333333336</v>
      </c>
      <c r="D876" s="34">
        <f t="shared" si="21"/>
        <v>799.23333333333335</v>
      </c>
    </row>
    <row r="877" spans="1:4">
      <c r="A877" s="20">
        <v>875</v>
      </c>
      <c r="B877" s="34">
        <f t="shared" si="19"/>
        <v>23.416666666666668</v>
      </c>
      <c r="C877" s="34">
        <f t="shared" si="20"/>
        <v>6.416666666666667</v>
      </c>
      <c r="D877" s="34">
        <f t="shared" si="21"/>
        <v>797.41666666666663</v>
      </c>
    </row>
    <row r="878" spans="1:4">
      <c r="A878" s="20">
        <v>876</v>
      </c>
      <c r="B878" s="34">
        <f t="shared" si="19"/>
        <v>23.4</v>
      </c>
      <c r="C878" s="34">
        <f t="shared" si="20"/>
        <v>6.4</v>
      </c>
      <c r="D878" s="34">
        <f t="shared" si="21"/>
        <v>795.6</v>
      </c>
    </row>
    <row r="879" spans="1:4">
      <c r="A879" s="20">
        <v>877</v>
      </c>
      <c r="B879" s="34">
        <f t="shared" si="19"/>
        <v>23.383333333333333</v>
      </c>
      <c r="C879" s="34">
        <f t="shared" si="20"/>
        <v>6.3833333333333329</v>
      </c>
      <c r="D879" s="34">
        <f t="shared" si="21"/>
        <v>793.7833333333333</v>
      </c>
    </row>
    <row r="880" spans="1:4">
      <c r="A880" s="20">
        <v>878</v>
      </c>
      <c r="B880" s="34">
        <f t="shared" si="19"/>
        <v>23.366666666666667</v>
      </c>
      <c r="C880" s="34">
        <f t="shared" si="20"/>
        <v>6.3666666666666671</v>
      </c>
      <c r="D880" s="34">
        <f t="shared" si="21"/>
        <v>791.9666666666667</v>
      </c>
    </row>
    <row r="881" spans="1:4">
      <c r="A881" s="20">
        <v>879</v>
      </c>
      <c r="B881" s="34">
        <f t="shared" si="19"/>
        <v>23.35</v>
      </c>
      <c r="C881" s="34">
        <f t="shared" si="20"/>
        <v>6.35</v>
      </c>
      <c r="D881" s="34">
        <f t="shared" si="21"/>
        <v>790.15</v>
      </c>
    </row>
    <row r="882" spans="1:4">
      <c r="A882" s="20">
        <v>880</v>
      </c>
      <c r="B882" s="34">
        <f t="shared" si="19"/>
        <v>23.333333333333332</v>
      </c>
      <c r="C882" s="34">
        <f t="shared" si="20"/>
        <v>6.333333333333333</v>
      </c>
      <c r="D882" s="34">
        <f t="shared" si="21"/>
        <v>788.33333333333337</v>
      </c>
    </row>
    <row r="883" spans="1:4">
      <c r="A883" s="20">
        <v>881</v>
      </c>
      <c r="B883" s="34">
        <f t="shared" si="19"/>
        <v>23.316666666666666</v>
      </c>
      <c r="C883" s="34">
        <f t="shared" si="20"/>
        <v>6.3166666666666664</v>
      </c>
      <c r="D883" s="34">
        <f t="shared" si="21"/>
        <v>786.51666666666665</v>
      </c>
    </row>
    <row r="884" spans="1:4">
      <c r="A884" s="20">
        <v>882</v>
      </c>
      <c r="B884" s="34">
        <f t="shared" si="19"/>
        <v>23.3</v>
      </c>
      <c r="C884" s="34">
        <f t="shared" si="20"/>
        <v>6.3</v>
      </c>
      <c r="D884" s="34">
        <f t="shared" si="21"/>
        <v>784.7</v>
      </c>
    </row>
    <row r="885" spans="1:4">
      <c r="A885" s="20">
        <v>883</v>
      </c>
      <c r="B885" s="34">
        <f t="shared" si="19"/>
        <v>23.283333333333335</v>
      </c>
      <c r="C885" s="34">
        <f t="shared" si="20"/>
        <v>6.2833333333333332</v>
      </c>
      <c r="D885" s="34">
        <f t="shared" si="21"/>
        <v>782.88333333333333</v>
      </c>
    </row>
    <row r="886" spans="1:4">
      <c r="A886" s="20">
        <v>884</v>
      </c>
      <c r="B886" s="34">
        <f t="shared" si="19"/>
        <v>23.266666666666666</v>
      </c>
      <c r="C886" s="34">
        <f t="shared" si="20"/>
        <v>6.2666666666666666</v>
      </c>
      <c r="D886" s="34">
        <f t="shared" si="21"/>
        <v>781.06666666666661</v>
      </c>
    </row>
    <row r="887" spans="1:4">
      <c r="A887" s="20">
        <v>885</v>
      </c>
      <c r="B887" s="34">
        <f t="shared" si="19"/>
        <v>23.25</v>
      </c>
      <c r="C887" s="34">
        <f t="shared" si="20"/>
        <v>6.25</v>
      </c>
      <c r="D887" s="34">
        <f t="shared" si="21"/>
        <v>779.25</v>
      </c>
    </row>
    <row r="888" spans="1:4">
      <c r="A888" s="20">
        <v>886</v>
      </c>
      <c r="B888" s="34">
        <f t="shared" si="19"/>
        <v>23.233333333333334</v>
      </c>
      <c r="C888" s="34">
        <f t="shared" si="20"/>
        <v>6.2333333333333334</v>
      </c>
      <c r="D888" s="34">
        <f t="shared" si="21"/>
        <v>777.43333333333339</v>
      </c>
    </row>
    <row r="889" spans="1:4">
      <c r="A889" s="20">
        <v>887</v>
      </c>
      <c r="B889" s="34">
        <f t="shared" si="19"/>
        <v>23.216666666666665</v>
      </c>
      <c r="C889" s="34">
        <f t="shared" si="20"/>
        <v>6.2166666666666668</v>
      </c>
      <c r="D889" s="34">
        <f t="shared" si="21"/>
        <v>775.61666666666667</v>
      </c>
    </row>
    <row r="890" spans="1:4">
      <c r="A890" s="20">
        <v>888</v>
      </c>
      <c r="B890" s="34">
        <f t="shared" si="19"/>
        <v>23.2</v>
      </c>
      <c r="C890" s="34">
        <f t="shared" si="20"/>
        <v>6.2</v>
      </c>
      <c r="D890" s="34">
        <f t="shared" si="21"/>
        <v>773.8</v>
      </c>
    </row>
    <row r="891" spans="1:4">
      <c r="A891" s="20">
        <v>889</v>
      </c>
      <c r="B891" s="34">
        <f t="shared" si="19"/>
        <v>23.183333333333334</v>
      </c>
      <c r="C891" s="34">
        <f t="shared" si="20"/>
        <v>6.1833333333333336</v>
      </c>
      <c r="D891" s="34">
        <f t="shared" si="21"/>
        <v>771.98333333333335</v>
      </c>
    </row>
    <row r="892" spans="1:4">
      <c r="A892" s="20">
        <v>890</v>
      </c>
      <c r="B892" s="34">
        <f t="shared" si="19"/>
        <v>23.166666666666668</v>
      </c>
      <c r="C892" s="34">
        <f t="shared" si="20"/>
        <v>6.166666666666667</v>
      </c>
      <c r="D892" s="34">
        <f t="shared" si="21"/>
        <v>770.16666666666663</v>
      </c>
    </row>
    <row r="893" spans="1:4">
      <c r="A893" s="20">
        <v>891</v>
      </c>
      <c r="B893" s="34">
        <f t="shared" si="19"/>
        <v>23.15</v>
      </c>
      <c r="C893" s="34">
        <f t="shared" si="20"/>
        <v>6.15</v>
      </c>
      <c r="D893" s="34">
        <f t="shared" si="21"/>
        <v>768.35</v>
      </c>
    </row>
    <row r="894" spans="1:4">
      <c r="A894" s="20">
        <v>892</v>
      </c>
      <c r="B894" s="34">
        <f t="shared" si="19"/>
        <v>23.133333333333333</v>
      </c>
      <c r="C894" s="34">
        <f t="shared" si="20"/>
        <v>6.1333333333333329</v>
      </c>
      <c r="D894" s="34">
        <f t="shared" si="21"/>
        <v>766.5333333333333</v>
      </c>
    </row>
    <row r="895" spans="1:4">
      <c r="A895" s="20">
        <v>893</v>
      </c>
      <c r="B895" s="34">
        <f t="shared" si="19"/>
        <v>23.116666666666667</v>
      </c>
      <c r="C895" s="34">
        <f t="shared" si="20"/>
        <v>6.1166666666666671</v>
      </c>
      <c r="D895" s="34">
        <f t="shared" si="21"/>
        <v>764.7166666666667</v>
      </c>
    </row>
    <row r="896" spans="1:4">
      <c r="A896" s="20">
        <v>894</v>
      </c>
      <c r="B896" s="34">
        <f t="shared" si="19"/>
        <v>23.1</v>
      </c>
      <c r="C896" s="34">
        <f t="shared" si="20"/>
        <v>6.1</v>
      </c>
      <c r="D896" s="34">
        <f t="shared" si="21"/>
        <v>762.9</v>
      </c>
    </row>
    <row r="897" spans="1:4">
      <c r="A897" s="20">
        <v>895</v>
      </c>
      <c r="B897" s="34">
        <f t="shared" si="19"/>
        <v>23.083333333333332</v>
      </c>
      <c r="C897" s="34">
        <f t="shared" si="20"/>
        <v>6.083333333333333</v>
      </c>
      <c r="D897" s="34">
        <f t="shared" si="21"/>
        <v>761.08333333333337</v>
      </c>
    </row>
    <row r="898" spans="1:4">
      <c r="A898" s="20">
        <v>896</v>
      </c>
      <c r="B898" s="34">
        <f t="shared" si="19"/>
        <v>23.066666666666666</v>
      </c>
      <c r="C898" s="34">
        <f t="shared" si="20"/>
        <v>6.0666666666666664</v>
      </c>
      <c r="D898" s="34">
        <f t="shared" si="21"/>
        <v>759.26666666666665</v>
      </c>
    </row>
    <row r="899" spans="1:4">
      <c r="A899" s="20">
        <v>897</v>
      </c>
      <c r="B899" s="34">
        <f t="shared" si="19"/>
        <v>23.05</v>
      </c>
      <c r="C899" s="34">
        <f t="shared" si="20"/>
        <v>6.05</v>
      </c>
      <c r="D899" s="34">
        <f t="shared" si="21"/>
        <v>757.45</v>
      </c>
    </row>
    <row r="900" spans="1:4">
      <c r="A900" s="20">
        <v>898</v>
      </c>
      <c r="B900" s="34">
        <f t="shared" si="19"/>
        <v>23.033333333333335</v>
      </c>
      <c r="C900" s="34">
        <f t="shared" si="20"/>
        <v>6.0333333333333332</v>
      </c>
      <c r="D900" s="34">
        <f t="shared" si="21"/>
        <v>755.63333333333333</v>
      </c>
    </row>
    <row r="901" spans="1:4">
      <c r="A901" s="20">
        <v>899</v>
      </c>
      <c r="B901" s="34">
        <f t="shared" si="19"/>
        <v>23.016666666666666</v>
      </c>
      <c r="C901" s="34">
        <f t="shared" si="20"/>
        <v>6.0166666666666666</v>
      </c>
      <c r="D901" s="34">
        <f t="shared" si="21"/>
        <v>753.81666666666661</v>
      </c>
    </row>
    <row r="902" spans="1:4">
      <c r="A902" s="20">
        <v>900</v>
      </c>
      <c r="B902" s="35">
        <f t="shared" si="19"/>
        <v>23</v>
      </c>
      <c r="C902" s="5">
        <v>6</v>
      </c>
      <c r="D902" s="5">
        <v>752</v>
      </c>
    </row>
    <row r="903" spans="1:4">
      <c r="A903" s="20">
        <v>901</v>
      </c>
      <c r="B903" s="34">
        <f>(A903-$A$902)*-2/60+$B$902</f>
        <v>22.966666666666665</v>
      </c>
      <c r="C903" s="34">
        <f>(A903-$A$902)/-30+6</f>
        <v>5.9666666666666668</v>
      </c>
      <c r="D903" s="34">
        <f>(A903-$A$902)/60*(567-752)+752</f>
        <v>748.91666666666663</v>
      </c>
    </row>
    <row r="904" spans="1:4">
      <c r="A904" s="20">
        <v>902</v>
      </c>
      <c r="B904" s="34">
        <f t="shared" ref="B904:B963" si="22">(A904-$A$902)*-2/60+$B$902</f>
        <v>22.933333333333334</v>
      </c>
      <c r="C904" s="34">
        <f t="shared" ref="C904:C967" si="23">(A904-$A$902)/-30+6</f>
        <v>5.9333333333333336</v>
      </c>
      <c r="D904" s="34">
        <f t="shared" ref="D904:D961" si="24">(A904-$A$902)/60*(567-752)+752</f>
        <v>745.83333333333337</v>
      </c>
    </row>
    <row r="905" spans="1:4">
      <c r="A905" s="20">
        <v>903</v>
      </c>
      <c r="B905" s="34">
        <f t="shared" si="22"/>
        <v>22.9</v>
      </c>
      <c r="C905" s="34">
        <f t="shared" si="23"/>
        <v>5.9</v>
      </c>
      <c r="D905" s="34">
        <f t="shared" si="24"/>
        <v>742.75</v>
      </c>
    </row>
    <row r="906" spans="1:4">
      <c r="A906" s="20">
        <v>904</v>
      </c>
      <c r="B906" s="34">
        <f t="shared" si="22"/>
        <v>22.866666666666667</v>
      </c>
      <c r="C906" s="34">
        <f t="shared" si="23"/>
        <v>5.8666666666666663</v>
      </c>
      <c r="D906" s="34">
        <f t="shared" si="24"/>
        <v>739.66666666666663</v>
      </c>
    </row>
    <row r="907" spans="1:4">
      <c r="A907" s="20">
        <v>905</v>
      </c>
      <c r="B907" s="34">
        <f t="shared" si="22"/>
        <v>22.833333333333332</v>
      </c>
      <c r="C907" s="34">
        <f t="shared" si="23"/>
        <v>5.833333333333333</v>
      </c>
      <c r="D907" s="34">
        <f t="shared" si="24"/>
        <v>736.58333333333337</v>
      </c>
    </row>
    <row r="908" spans="1:4">
      <c r="A908" s="20">
        <v>906</v>
      </c>
      <c r="B908" s="34">
        <f t="shared" si="22"/>
        <v>22.8</v>
      </c>
      <c r="C908" s="34">
        <f t="shared" si="23"/>
        <v>5.8</v>
      </c>
      <c r="D908" s="34">
        <f t="shared" si="24"/>
        <v>733.5</v>
      </c>
    </row>
    <row r="909" spans="1:4">
      <c r="A909" s="20">
        <v>907</v>
      </c>
      <c r="B909" s="34">
        <f t="shared" si="22"/>
        <v>22.766666666666666</v>
      </c>
      <c r="C909" s="34">
        <f t="shared" si="23"/>
        <v>5.7666666666666666</v>
      </c>
      <c r="D909" s="34">
        <f t="shared" si="24"/>
        <v>730.41666666666663</v>
      </c>
    </row>
    <row r="910" spans="1:4">
      <c r="A910" s="20">
        <v>908</v>
      </c>
      <c r="B910" s="34">
        <f t="shared" si="22"/>
        <v>22.733333333333334</v>
      </c>
      <c r="C910" s="34">
        <f t="shared" si="23"/>
        <v>5.7333333333333334</v>
      </c>
      <c r="D910" s="34">
        <f t="shared" si="24"/>
        <v>727.33333333333337</v>
      </c>
    </row>
    <row r="911" spans="1:4">
      <c r="A911" s="20">
        <v>909</v>
      </c>
      <c r="B911" s="34">
        <f t="shared" si="22"/>
        <v>22.7</v>
      </c>
      <c r="C911" s="34">
        <f t="shared" si="23"/>
        <v>5.7</v>
      </c>
      <c r="D911" s="34">
        <f t="shared" si="24"/>
        <v>724.25</v>
      </c>
    </row>
    <row r="912" spans="1:4">
      <c r="A912" s="20">
        <v>910</v>
      </c>
      <c r="B912" s="34">
        <f t="shared" si="22"/>
        <v>22.666666666666668</v>
      </c>
      <c r="C912" s="34">
        <f t="shared" si="23"/>
        <v>5.666666666666667</v>
      </c>
      <c r="D912" s="34">
        <f t="shared" si="24"/>
        <v>721.16666666666663</v>
      </c>
    </row>
    <row r="913" spans="1:4">
      <c r="A913" s="20">
        <v>911</v>
      </c>
      <c r="B913" s="34">
        <f t="shared" si="22"/>
        <v>22.633333333333333</v>
      </c>
      <c r="C913" s="34">
        <f t="shared" si="23"/>
        <v>5.6333333333333337</v>
      </c>
      <c r="D913" s="34">
        <f t="shared" si="24"/>
        <v>718.08333333333337</v>
      </c>
    </row>
    <row r="914" spans="1:4">
      <c r="A914" s="20">
        <v>912</v>
      </c>
      <c r="B914" s="34">
        <f t="shared" si="22"/>
        <v>22.6</v>
      </c>
      <c r="C914" s="34">
        <f t="shared" si="23"/>
        <v>5.6</v>
      </c>
      <c r="D914" s="34">
        <f t="shared" si="24"/>
        <v>715</v>
      </c>
    </row>
    <row r="915" spans="1:4">
      <c r="A915" s="20">
        <v>913</v>
      </c>
      <c r="B915" s="34">
        <f t="shared" si="22"/>
        <v>22.566666666666666</v>
      </c>
      <c r="C915" s="34">
        <f t="shared" si="23"/>
        <v>5.5666666666666664</v>
      </c>
      <c r="D915" s="34">
        <f t="shared" si="24"/>
        <v>711.91666666666663</v>
      </c>
    </row>
    <row r="916" spans="1:4">
      <c r="A916" s="20">
        <v>914</v>
      </c>
      <c r="B916" s="34">
        <f t="shared" si="22"/>
        <v>22.533333333333335</v>
      </c>
      <c r="C916" s="34">
        <f t="shared" si="23"/>
        <v>5.5333333333333332</v>
      </c>
      <c r="D916" s="34">
        <f t="shared" si="24"/>
        <v>708.83333333333337</v>
      </c>
    </row>
    <row r="917" spans="1:4">
      <c r="A917" s="20">
        <v>915</v>
      </c>
      <c r="B917" s="34">
        <f t="shared" si="22"/>
        <v>22.5</v>
      </c>
      <c r="C917" s="34">
        <f t="shared" si="23"/>
        <v>5.5</v>
      </c>
      <c r="D917" s="34">
        <f t="shared" si="24"/>
        <v>705.75</v>
      </c>
    </row>
    <row r="918" spans="1:4">
      <c r="A918" s="20">
        <v>916</v>
      </c>
      <c r="B918" s="34">
        <f t="shared" si="22"/>
        <v>22.466666666666665</v>
      </c>
      <c r="C918" s="34">
        <f t="shared" si="23"/>
        <v>5.4666666666666668</v>
      </c>
      <c r="D918" s="34">
        <f t="shared" si="24"/>
        <v>702.66666666666663</v>
      </c>
    </row>
    <row r="919" spans="1:4">
      <c r="A919" s="20">
        <v>917</v>
      </c>
      <c r="B919" s="34">
        <f t="shared" si="22"/>
        <v>22.433333333333334</v>
      </c>
      <c r="C919" s="34">
        <f t="shared" si="23"/>
        <v>5.4333333333333336</v>
      </c>
      <c r="D919" s="34">
        <f t="shared" si="24"/>
        <v>699.58333333333337</v>
      </c>
    </row>
    <row r="920" spans="1:4">
      <c r="A920" s="20">
        <v>918</v>
      </c>
      <c r="B920" s="34">
        <f t="shared" si="22"/>
        <v>22.4</v>
      </c>
      <c r="C920" s="34">
        <f t="shared" si="23"/>
        <v>5.4</v>
      </c>
      <c r="D920" s="34">
        <f t="shared" si="24"/>
        <v>696.5</v>
      </c>
    </row>
    <row r="921" spans="1:4">
      <c r="A921" s="20">
        <v>919</v>
      </c>
      <c r="B921" s="34">
        <f t="shared" si="22"/>
        <v>22.366666666666667</v>
      </c>
      <c r="C921" s="34">
        <f t="shared" si="23"/>
        <v>5.3666666666666671</v>
      </c>
      <c r="D921" s="34">
        <f t="shared" si="24"/>
        <v>693.41666666666663</v>
      </c>
    </row>
    <row r="922" spans="1:4">
      <c r="A922" s="20">
        <v>920</v>
      </c>
      <c r="B922" s="34">
        <f t="shared" si="22"/>
        <v>22.333333333333332</v>
      </c>
      <c r="C922" s="34">
        <f t="shared" si="23"/>
        <v>5.333333333333333</v>
      </c>
      <c r="D922" s="34">
        <f t="shared" si="24"/>
        <v>690.33333333333337</v>
      </c>
    </row>
    <row r="923" spans="1:4">
      <c r="A923" s="20">
        <v>921</v>
      </c>
      <c r="B923" s="34">
        <f t="shared" si="22"/>
        <v>22.3</v>
      </c>
      <c r="C923" s="34">
        <f t="shared" si="23"/>
        <v>5.3</v>
      </c>
      <c r="D923" s="34">
        <f t="shared" si="24"/>
        <v>687.25</v>
      </c>
    </row>
    <row r="924" spans="1:4">
      <c r="A924" s="20">
        <v>922</v>
      </c>
      <c r="B924" s="34">
        <f t="shared" si="22"/>
        <v>22.266666666666666</v>
      </c>
      <c r="C924" s="34">
        <f t="shared" si="23"/>
        <v>5.2666666666666666</v>
      </c>
      <c r="D924" s="34">
        <f t="shared" si="24"/>
        <v>684.16666666666663</v>
      </c>
    </row>
    <row r="925" spans="1:4">
      <c r="A925" s="20">
        <v>923</v>
      </c>
      <c r="B925" s="34">
        <f t="shared" si="22"/>
        <v>22.233333333333334</v>
      </c>
      <c r="C925" s="34">
        <f t="shared" si="23"/>
        <v>5.2333333333333334</v>
      </c>
      <c r="D925" s="34">
        <f t="shared" si="24"/>
        <v>681.08333333333337</v>
      </c>
    </row>
    <row r="926" spans="1:4">
      <c r="A926" s="20">
        <v>924</v>
      </c>
      <c r="B926" s="34">
        <f t="shared" si="22"/>
        <v>22.2</v>
      </c>
      <c r="C926" s="34">
        <f t="shared" si="23"/>
        <v>5.2</v>
      </c>
      <c r="D926" s="34">
        <f t="shared" si="24"/>
        <v>678</v>
      </c>
    </row>
    <row r="927" spans="1:4">
      <c r="A927" s="20">
        <v>925</v>
      </c>
      <c r="B927" s="34">
        <f t="shared" si="22"/>
        <v>22.166666666666668</v>
      </c>
      <c r="C927" s="34">
        <f t="shared" si="23"/>
        <v>5.166666666666667</v>
      </c>
      <c r="D927" s="34">
        <f t="shared" si="24"/>
        <v>674.91666666666663</v>
      </c>
    </row>
    <row r="928" spans="1:4">
      <c r="A928" s="20">
        <v>926</v>
      </c>
      <c r="B928" s="34">
        <f t="shared" si="22"/>
        <v>22.133333333333333</v>
      </c>
      <c r="C928" s="34">
        <f t="shared" si="23"/>
        <v>5.1333333333333329</v>
      </c>
      <c r="D928" s="34">
        <f t="shared" si="24"/>
        <v>671.83333333333337</v>
      </c>
    </row>
    <row r="929" spans="1:4">
      <c r="A929" s="20">
        <v>927</v>
      </c>
      <c r="B929" s="34">
        <f t="shared" si="22"/>
        <v>22.1</v>
      </c>
      <c r="C929" s="34">
        <f t="shared" si="23"/>
        <v>5.0999999999999996</v>
      </c>
      <c r="D929" s="34">
        <f t="shared" si="24"/>
        <v>668.75</v>
      </c>
    </row>
    <row r="930" spans="1:4">
      <c r="A930" s="20">
        <v>928</v>
      </c>
      <c r="B930" s="34">
        <f t="shared" si="22"/>
        <v>22.066666666666666</v>
      </c>
      <c r="C930" s="34">
        <f t="shared" si="23"/>
        <v>5.0666666666666664</v>
      </c>
      <c r="D930" s="34">
        <f t="shared" si="24"/>
        <v>665.66666666666663</v>
      </c>
    </row>
    <row r="931" spans="1:4">
      <c r="A931" s="20">
        <v>929</v>
      </c>
      <c r="B931" s="34">
        <f t="shared" si="22"/>
        <v>22.033333333333335</v>
      </c>
      <c r="C931" s="34">
        <f t="shared" si="23"/>
        <v>5.0333333333333332</v>
      </c>
      <c r="D931" s="34">
        <f t="shared" si="24"/>
        <v>662.58333333333337</v>
      </c>
    </row>
    <row r="932" spans="1:4">
      <c r="A932" s="20">
        <v>930</v>
      </c>
      <c r="B932" s="34">
        <f t="shared" si="22"/>
        <v>22</v>
      </c>
      <c r="C932" s="34">
        <f t="shared" si="23"/>
        <v>5</v>
      </c>
      <c r="D932" s="34">
        <f t="shared" si="24"/>
        <v>659.5</v>
      </c>
    </row>
    <row r="933" spans="1:4">
      <c r="A933" s="20">
        <v>931</v>
      </c>
      <c r="B933" s="34">
        <f t="shared" si="22"/>
        <v>21.966666666666665</v>
      </c>
      <c r="C933" s="34">
        <f t="shared" si="23"/>
        <v>4.9666666666666668</v>
      </c>
      <c r="D933" s="34">
        <f t="shared" si="24"/>
        <v>656.41666666666663</v>
      </c>
    </row>
    <row r="934" spans="1:4">
      <c r="A934" s="20">
        <v>932</v>
      </c>
      <c r="B934" s="34">
        <f t="shared" si="22"/>
        <v>21.933333333333334</v>
      </c>
      <c r="C934" s="34">
        <f t="shared" si="23"/>
        <v>4.9333333333333336</v>
      </c>
      <c r="D934" s="34">
        <f t="shared" si="24"/>
        <v>653.33333333333337</v>
      </c>
    </row>
    <row r="935" spans="1:4">
      <c r="A935" s="20">
        <v>933</v>
      </c>
      <c r="B935" s="34">
        <f t="shared" si="22"/>
        <v>21.9</v>
      </c>
      <c r="C935" s="34">
        <f t="shared" si="23"/>
        <v>4.9000000000000004</v>
      </c>
      <c r="D935" s="34">
        <f t="shared" si="24"/>
        <v>650.25</v>
      </c>
    </row>
    <row r="936" spans="1:4">
      <c r="A936" s="20">
        <v>934</v>
      </c>
      <c r="B936" s="34">
        <f t="shared" si="22"/>
        <v>21.866666666666667</v>
      </c>
      <c r="C936" s="34">
        <f t="shared" si="23"/>
        <v>4.8666666666666671</v>
      </c>
      <c r="D936" s="34">
        <f t="shared" si="24"/>
        <v>647.16666666666663</v>
      </c>
    </row>
    <row r="937" spans="1:4">
      <c r="A937" s="20">
        <v>935</v>
      </c>
      <c r="B937" s="34">
        <f t="shared" si="22"/>
        <v>21.833333333333332</v>
      </c>
      <c r="C937" s="34">
        <f t="shared" si="23"/>
        <v>4.833333333333333</v>
      </c>
      <c r="D937" s="34">
        <f t="shared" si="24"/>
        <v>644.08333333333337</v>
      </c>
    </row>
    <row r="938" spans="1:4">
      <c r="A938" s="20">
        <v>936</v>
      </c>
      <c r="B938" s="34">
        <f t="shared" si="22"/>
        <v>21.8</v>
      </c>
      <c r="C938" s="34">
        <f t="shared" si="23"/>
        <v>4.8</v>
      </c>
      <c r="D938" s="34">
        <f t="shared" si="24"/>
        <v>641</v>
      </c>
    </row>
    <row r="939" spans="1:4">
      <c r="A939" s="20">
        <v>937</v>
      </c>
      <c r="B939" s="34">
        <f t="shared" si="22"/>
        <v>21.766666666666666</v>
      </c>
      <c r="C939" s="34">
        <f t="shared" si="23"/>
        <v>4.7666666666666666</v>
      </c>
      <c r="D939" s="34">
        <f t="shared" si="24"/>
        <v>637.91666666666663</v>
      </c>
    </row>
    <row r="940" spans="1:4">
      <c r="A940" s="20">
        <v>938</v>
      </c>
      <c r="B940" s="34">
        <f t="shared" si="22"/>
        <v>21.733333333333334</v>
      </c>
      <c r="C940" s="34">
        <f t="shared" si="23"/>
        <v>4.7333333333333334</v>
      </c>
      <c r="D940" s="34">
        <f t="shared" si="24"/>
        <v>634.83333333333337</v>
      </c>
    </row>
    <row r="941" spans="1:4">
      <c r="A941" s="20">
        <v>939</v>
      </c>
      <c r="B941" s="34">
        <f t="shared" si="22"/>
        <v>21.7</v>
      </c>
      <c r="C941" s="34">
        <f t="shared" si="23"/>
        <v>4.7</v>
      </c>
      <c r="D941" s="34">
        <f t="shared" si="24"/>
        <v>631.75</v>
      </c>
    </row>
    <row r="942" spans="1:4">
      <c r="A942" s="20">
        <v>940</v>
      </c>
      <c r="B942" s="34">
        <f t="shared" si="22"/>
        <v>21.666666666666668</v>
      </c>
      <c r="C942" s="34">
        <f t="shared" si="23"/>
        <v>4.666666666666667</v>
      </c>
      <c r="D942" s="34">
        <f t="shared" si="24"/>
        <v>628.66666666666663</v>
      </c>
    </row>
    <row r="943" spans="1:4">
      <c r="A943" s="20">
        <v>941</v>
      </c>
      <c r="B943" s="34">
        <f t="shared" si="22"/>
        <v>21.633333333333333</v>
      </c>
      <c r="C943" s="34">
        <f t="shared" si="23"/>
        <v>4.6333333333333329</v>
      </c>
      <c r="D943" s="34">
        <f t="shared" si="24"/>
        <v>625.58333333333337</v>
      </c>
    </row>
    <row r="944" spans="1:4">
      <c r="A944" s="20">
        <v>942</v>
      </c>
      <c r="B944" s="34">
        <f t="shared" si="22"/>
        <v>21.6</v>
      </c>
      <c r="C944" s="34">
        <f t="shared" si="23"/>
        <v>4.5999999999999996</v>
      </c>
      <c r="D944" s="34">
        <f t="shared" si="24"/>
        <v>622.5</v>
      </c>
    </row>
    <row r="945" spans="1:4">
      <c r="A945" s="20">
        <v>943</v>
      </c>
      <c r="B945" s="34">
        <f t="shared" si="22"/>
        <v>21.566666666666666</v>
      </c>
      <c r="C945" s="34">
        <f t="shared" si="23"/>
        <v>4.5666666666666664</v>
      </c>
      <c r="D945" s="34">
        <f t="shared" si="24"/>
        <v>619.41666666666663</v>
      </c>
    </row>
    <row r="946" spans="1:4">
      <c r="A946" s="20">
        <v>944</v>
      </c>
      <c r="B946" s="34">
        <f t="shared" si="22"/>
        <v>21.533333333333335</v>
      </c>
      <c r="C946" s="34">
        <f t="shared" si="23"/>
        <v>4.5333333333333332</v>
      </c>
      <c r="D946" s="34">
        <f t="shared" si="24"/>
        <v>616.33333333333337</v>
      </c>
    </row>
    <row r="947" spans="1:4">
      <c r="A947" s="20">
        <v>945</v>
      </c>
      <c r="B947" s="34">
        <f t="shared" si="22"/>
        <v>21.5</v>
      </c>
      <c r="C947" s="34">
        <f t="shared" si="23"/>
        <v>4.5</v>
      </c>
      <c r="D947" s="34">
        <f t="shared" si="24"/>
        <v>613.25</v>
      </c>
    </row>
    <row r="948" spans="1:4">
      <c r="A948" s="20">
        <v>946</v>
      </c>
      <c r="B948" s="34">
        <f t="shared" si="22"/>
        <v>21.466666666666665</v>
      </c>
      <c r="C948" s="34">
        <f t="shared" si="23"/>
        <v>4.4666666666666668</v>
      </c>
      <c r="D948" s="34">
        <f t="shared" si="24"/>
        <v>610.16666666666663</v>
      </c>
    </row>
    <row r="949" spans="1:4">
      <c r="A949" s="20">
        <v>947</v>
      </c>
      <c r="B949" s="34">
        <f t="shared" si="22"/>
        <v>21.433333333333334</v>
      </c>
      <c r="C949" s="34">
        <f t="shared" si="23"/>
        <v>4.4333333333333336</v>
      </c>
      <c r="D949" s="34">
        <f t="shared" si="24"/>
        <v>607.08333333333337</v>
      </c>
    </row>
    <row r="950" spans="1:4">
      <c r="A950" s="20">
        <v>948</v>
      </c>
      <c r="B950" s="34">
        <f t="shared" si="22"/>
        <v>21.4</v>
      </c>
      <c r="C950" s="34">
        <f t="shared" si="23"/>
        <v>4.4000000000000004</v>
      </c>
      <c r="D950" s="34">
        <f t="shared" si="24"/>
        <v>604</v>
      </c>
    </row>
    <row r="951" spans="1:4">
      <c r="A951" s="20">
        <v>949</v>
      </c>
      <c r="B951" s="34">
        <f t="shared" si="22"/>
        <v>21.366666666666667</v>
      </c>
      <c r="C951" s="34">
        <f t="shared" si="23"/>
        <v>4.3666666666666671</v>
      </c>
      <c r="D951" s="34">
        <f t="shared" si="24"/>
        <v>600.91666666666663</v>
      </c>
    </row>
    <row r="952" spans="1:4">
      <c r="A952" s="20">
        <v>950</v>
      </c>
      <c r="B952" s="34">
        <f t="shared" si="22"/>
        <v>21.333333333333332</v>
      </c>
      <c r="C952" s="34">
        <f t="shared" si="23"/>
        <v>4.333333333333333</v>
      </c>
      <c r="D952" s="34">
        <f t="shared" si="24"/>
        <v>597.83333333333326</v>
      </c>
    </row>
    <row r="953" spans="1:4">
      <c r="A953" s="20">
        <v>951</v>
      </c>
      <c r="B953" s="34">
        <f t="shared" si="22"/>
        <v>21.3</v>
      </c>
      <c r="C953" s="34">
        <f t="shared" si="23"/>
        <v>4.3</v>
      </c>
      <c r="D953" s="34">
        <f t="shared" si="24"/>
        <v>594.75</v>
      </c>
    </row>
    <row r="954" spans="1:4">
      <c r="A954" s="20">
        <v>952</v>
      </c>
      <c r="B954" s="34">
        <f t="shared" si="22"/>
        <v>21.266666666666666</v>
      </c>
      <c r="C954" s="34">
        <f t="shared" si="23"/>
        <v>4.2666666666666666</v>
      </c>
      <c r="D954" s="34">
        <f t="shared" si="24"/>
        <v>591.66666666666663</v>
      </c>
    </row>
    <row r="955" spans="1:4">
      <c r="A955" s="20">
        <v>953</v>
      </c>
      <c r="B955" s="34">
        <f t="shared" si="22"/>
        <v>21.233333333333334</v>
      </c>
      <c r="C955" s="34">
        <f t="shared" si="23"/>
        <v>4.2333333333333334</v>
      </c>
      <c r="D955" s="34">
        <f t="shared" si="24"/>
        <v>588.58333333333337</v>
      </c>
    </row>
    <row r="956" spans="1:4">
      <c r="A956" s="20">
        <v>954</v>
      </c>
      <c r="B956" s="34">
        <f t="shared" si="22"/>
        <v>21.2</v>
      </c>
      <c r="C956" s="34">
        <f t="shared" si="23"/>
        <v>4.2</v>
      </c>
      <c r="D956" s="34">
        <f t="shared" si="24"/>
        <v>585.5</v>
      </c>
    </row>
    <row r="957" spans="1:4">
      <c r="A957" s="20">
        <v>955</v>
      </c>
      <c r="B957" s="34">
        <f t="shared" si="22"/>
        <v>21.166666666666668</v>
      </c>
      <c r="C957" s="34">
        <f t="shared" si="23"/>
        <v>4.166666666666667</v>
      </c>
      <c r="D957" s="34">
        <f t="shared" si="24"/>
        <v>582.41666666666674</v>
      </c>
    </row>
    <row r="958" spans="1:4">
      <c r="A958" s="20">
        <v>956</v>
      </c>
      <c r="B958" s="34">
        <f t="shared" si="22"/>
        <v>21.133333333333333</v>
      </c>
      <c r="C958" s="34">
        <f t="shared" si="23"/>
        <v>4.1333333333333329</v>
      </c>
      <c r="D958" s="34">
        <f t="shared" si="24"/>
        <v>579.33333333333337</v>
      </c>
    </row>
    <row r="959" spans="1:4">
      <c r="A959" s="20">
        <v>957</v>
      </c>
      <c r="B959" s="34">
        <f t="shared" si="22"/>
        <v>21.1</v>
      </c>
      <c r="C959" s="34">
        <f t="shared" si="23"/>
        <v>4.0999999999999996</v>
      </c>
      <c r="D959" s="34">
        <f t="shared" si="24"/>
        <v>576.25</v>
      </c>
    </row>
    <row r="960" spans="1:4">
      <c r="A960" s="20">
        <v>958</v>
      </c>
      <c r="B960" s="34">
        <f t="shared" si="22"/>
        <v>21.066666666666666</v>
      </c>
      <c r="C960" s="34">
        <f t="shared" si="23"/>
        <v>4.0666666666666664</v>
      </c>
      <c r="D960" s="34">
        <f t="shared" si="24"/>
        <v>573.16666666666663</v>
      </c>
    </row>
    <row r="961" spans="1:4">
      <c r="A961" s="20">
        <v>959</v>
      </c>
      <c r="B961" s="34">
        <f t="shared" si="22"/>
        <v>21.033333333333335</v>
      </c>
      <c r="C961" s="34">
        <f t="shared" si="23"/>
        <v>4.0333333333333332</v>
      </c>
      <c r="D961" s="34">
        <f t="shared" si="24"/>
        <v>570.08333333333337</v>
      </c>
    </row>
    <row r="962" spans="1:4">
      <c r="A962" s="20">
        <v>960</v>
      </c>
      <c r="B962" s="35">
        <v>21</v>
      </c>
      <c r="C962" s="35">
        <v>4</v>
      </c>
      <c r="D962" s="5">
        <v>567</v>
      </c>
    </row>
    <row r="963" spans="1:4">
      <c r="A963" s="20">
        <v>961</v>
      </c>
      <c r="B963" s="34">
        <f>(A963-$A$962)*-3/60+$B$962</f>
        <v>20.95</v>
      </c>
      <c r="C963" s="34">
        <f t="shared" si="23"/>
        <v>3.9666666666666668</v>
      </c>
      <c r="D963" s="34">
        <f>(A963-$A$962)*(336-567)/60+567</f>
        <v>563.15</v>
      </c>
    </row>
    <row r="964" spans="1:4">
      <c r="A964" s="20">
        <v>962</v>
      </c>
      <c r="B964" s="34">
        <f t="shared" ref="B964:B1021" si="25">(A964-$A$962)*-3/60+$B$962</f>
        <v>20.9</v>
      </c>
      <c r="C964" s="34">
        <f t="shared" si="23"/>
        <v>3.9333333333333331</v>
      </c>
      <c r="D964" s="34">
        <f t="shared" ref="D964:D1021" si="26">(A964-$A$962)*(336-567)/60+567</f>
        <v>559.29999999999995</v>
      </c>
    </row>
    <row r="965" spans="1:4">
      <c r="A965" s="20">
        <v>963</v>
      </c>
      <c r="B965" s="34">
        <f t="shared" si="25"/>
        <v>20.85</v>
      </c>
      <c r="C965" s="34">
        <f t="shared" si="23"/>
        <v>3.9</v>
      </c>
      <c r="D965" s="34">
        <f t="shared" si="26"/>
        <v>555.45000000000005</v>
      </c>
    </row>
    <row r="966" spans="1:4">
      <c r="A966" s="20">
        <v>964</v>
      </c>
      <c r="B966" s="34">
        <f t="shared" si="25"/>
        <v>20.8</v>
      </c>
      <c r="C966" s="34">
        <f t="shared" si="23"/>
        <v>3.8666666666666667</v>
      </c>
      <c r="D966" s="34">
        <f t="shared" si="26"/>
        <v>551.6</v>
      </c>
    </row>
    <row r="967" spans="1:4">
      <c r="A967" s="20">
        <v>965</v>
      </c>
      <c r="B967" s="34">
        <f t="shared" si="25"/>
        <v>20.75</v>
      </c>
      <c r="C967" s="34">
        <f t="shared" si="23"/>
        <v>3.8333333333333335</v>
      </c>
      <c r="D967" s="34">
        <f t="shared" si="26"/>
        <v>547.75</v>
      </c>
    </row>
    <row r="968" spans="1:4">
      <c r="A968" s="20">
        <v>966</v>
      </c>
      <c r="B968" s="34">
        <f t="shared" si="25"/>
        <v>20.7</v>
      </c>
      <c r="C968" s="34">
        <f t="shared" ref="C968:C1021" si="27">(A968-$A$902)/-30+6</f>
        <v>3.8</v>
      </c>
      <c r="D968" s="34">
        <f t="shared" si="26"/>
        <v>543.9</v>
      </c>
    </row>
    <row r="969" spans="1:4">
      <c r="A969" s="20">
        <v>967</v>
      </c>
      <c r="B969" s="34">
        <f t="shared" si="25"/>
        <v>20.65</v>
      </c>
      <c r="C969" s="34">
        <f t="shared" si="27"/>
        <v>3.7666666666666666</v>
      </c>
      <c r="D969" s="34">
        <f t="shared" si="26"/>
        <v>540.04999999999995</v>
      </c>
    </row>
    <row r="970" spans="1:4">
      <c r="A970" s="20">
        <v>968</v>
      </c>
      <c r="B970" s="34">
        <f t="shared" si="25"/>
        <v>20.6</v>
      </c>
      <c r="C970" s="34">
        <f t="shared" si="27"/>
        <v>3.7333333333333334</v>
      </c>
      <c r="D970" s="34">
        <f t="shared" si="26"/>
        <v>536.20000000000005</v>
      </c>
    </row>
    <row r="971" spans="1:4">
      <c r="A971" s="20">
        <v>969</v>
      </c>
      <c r="B971" s="34">
        <f t="shared" si="25"/>
        <v>20.55</v>
      </c>
      <c r="C971" s="34">
        <f t="shared" si="27"/>
        <v>3.7</v>
      </c>
      <c r="D971" s="34">
        <f t="shared" si="26"/>
        <v>532.35</v>
      </c>
    </row>
    <row r="972" spans="1:4">
      <c r="A972" s="20">
        <v>970</v>
      </c>
      <c r="B972" s="34">
        <f t="shared" si="25"/>
        <v>20.5</v>
      </c>
      <c r="C972" s="34">
        <f t="shared" si="27"/>
        <v>3.6666666666666665</v>
      </c>
      <c r="D972" s="34">
        <f t="shared" si="26"/>
        <v>528.5</v>
      </c>
    </row>
    <row r="973" spans="1:4">
      <c r="A973" s="20">
        <v>971</v>
      </c>
      <c r="B973" s="34">
        <f t="shared" si="25"/>
        <v>20.45</v>
      </c>
      <c r="C973" s="34">
        <f t="shared" si="27"/>
        <v>3.6333333333333333</v>
      </c>
      <c r="D973" s="34">
        <f t="shared" si="26"/>
        <v>524.65</v>
      </c>
    </row>
    <row r="974" spans="1:4">
      <c r="A974" s="20">
        <v>972</v>
      </c>
      <c r="B974" s="34">
        <f t="shared" si="25"/>
        <v>20.399999999999999</v>
      </c>
      <c r="C974" s="34">
        <f t="shared" si="27"/>
        <v>3.6</v>
      </c>
      <c r="D974" s="34">
        <f t="shared" si="26"/>
        <v>520.79999999999995</v>
      </c>
    </row>
    <row r="975" spans="1:4">
      <c r="A975" s="20">
        <v>973</v>
      </c>
      <c r="B975" s="34">
        <f t="shared" si="25"/>
        <v>20.350000000000001</v>
      </c>
      <c r="C975" s="34">
        <f t="shared" si="27"/>
        <v>3.5666666666666669</v>
      </c>
      <c r="D975" s="34">
        <f t="shared" si="26"/>
        <v>516.95000000000005</v>
      </c>
    </row>
    <row r="976" spans="1:4">
      <c r="A976" s="20">
        <v>974</v>
      </c>
      <c r="B976" s="34">
        <f t="shared" si="25"/>
        <v>20.3</v>
      </c>
      <c r="C976" s="34">
        <f t="shared" si="27"/>
        <v>3.5333333333333332</v>
      </c>
      <c r="D976" s="34">
        <f t="shared" si="26"/>
        <v>513.1</v>
      </c>
    </row>
    <row r="977" spans="1:4">
      <c r="A977" s="20">
        <v>975</v>
      </c>
      <c r="B977" s="34">
        <f t="shared" si="25"/>
        <v>20.25</v>
      </c>
      <c r="C977" s="34">
        <f t="shared" si="27"/>
        <v>3.5</v>
      </c>
      <c r="D977" s="34">
        <f t="shared" si="26"/>
        <v>509.25</v>
      </c>
    </row>
    <row r="978" spans="1:4">
      <c r="A978" s="20">
        <v>976</v>
      </c>
      <c r="B978" s="34">
        <f t="shared" si="25"/>
        <v>20.2</v>
      </c>
      <c r="C978" s="34">
        <f t="shared" si="27"/>
        <v>3.4666666666666668</v>
      </c>
      <c r="D978" s="34">
        <f t="shared" si="26"/>
        <v>505.4</v>
      </c>
    </row>
    <row r="979" spans="1:4">
      <c r="A979" s="20">
        <v>977</v>
      </c>
      <c r="B979" s="34">
        <f t="shared" si="25"/>
        <v>20.149999999999999</v>
      </c>
      <c r="C979" s="34">
        <f t="shared" si="27"/>
        <v>3.4333333333333331</v>
      </c>
      <c r="D979" s="34">
        <f t="shared" si="26"/>
        <v>501.55</v>
      </c>
    </row>
    <row r="980" spans="1:4">
      <c r="A980" s="20">
        <v>978</v>
      </c>
      <c r="B980" s="34">
        <f t="shared" si="25"/>
        <v>20.100000000000001</v>
      </c>
      <c r="C980" s="34">
        <f t="shared" si="27"/>
        <v>3.4</v>
      </c>
      <c r="D980" s="34">
        <f t="shared" si="26"/>
        <v>497.7</v>
      </c>
    </row>
    <row r="981" spans="1:4">
      <c r="A981" s="20">
        <v>979</v>
      </c>
      <c r="B981" s="34">
        <f t="shared" si="25"/>
        <v>20.05</v>
      </c>
      <c r="C981" s="34">
        <f t="shared" si="27"/>
        <v>3.3666666666666667</v>
      </c>
      <c r="D981" s="34">
        <f t="shared" si="26"/>
        <v>493.85</v>
      </c>
    </row>
    <row r="982" spans="1:4">
      <c r="A982" s="20">
        <v>980</v>
      </c>
      <c r="B982" s="34">
        <f t="shared" si="25"/>
        <v>20</v>
      </c>
      <c r="C982" s="34">
        <f t="shared" si="27"/>
        <v>3.3333333333333335</v>
      </c>
      <c r="D982" s="34">
        <f t="shared" si="26"/>
        <v>490</v>
      </c>
    </row>
    <row r="983" spans="1:4">
      <c r="A983" s="20">
        <v>981</v>
      </c>
      <c r="B983" s="34">
        <f t="shared" si="25"/>
        <v>19.95</v>
      </c>
      <c r="C983" s="34">
        <f t="shared" si="27"/>
        <v>3.3</v>
      </c>
      <c r="D983" s="34">
        <f t="shared" si="26"/>
        <v>486.15</v>
      </c>
    </row>
    <row r="984" spans="1:4">
      <c r="A984" s="20">
        <v>982</v>
      </c>
      <c r="B984" s="34">
        <f t="shared" si="25"/>
        <v>19.899999999999999</v>
      </c>
      <c r="C984" s="34">
        <f t="shared" si="27"/>
        <v>3.2666666666666666</v>
      </c>
      <c r="D984" s="34">
        <f t="shared" si="26"/>
        <v>482.3</v>
      </c>
    </row>
    <row r="985" spans="1:4">
      <c r="A985" s="20">
        <v>983</v>
      </c>
      <c r="B985" s="34">
        <f t="shared" si="25"/>
        <v>19.850000000000001</v>
      </c>
      <c r="C985" s="34">
        <f t="shared" si="27"/>
        <v>3.2333333333333334</v>
      </c>
      <c r="D985" s="34">
        <f t="shared" si="26"/>
        <v>478.45</v>
      </c>
    </row>
    <row r="986" spans="1:4">
      <c r="A986" s="20">
        <v>984</v>
      </c>
      <c r="B986" s="34">
        <f t="shared" si="25"/>
        <v>19.8</v>
      </c>
      <c r="C986" s="34">
        <f t="shared" si="27"/>
        <v>3.2</v>
      </c>
      <c r="D986" s="34">
        <f t="shared" si="26"/>
        <v>474.6</v>
      </c>
    </row>
    <row r="987" spans="1:4">
      <c r="A987" s="20">
        <v>985</v>
      </c>
      <c r="B987" s="34">
        <f t="shared" si="25"/>
        <v>19.75</v>
      </c>
      <c r="C987" s="34">
        <f t="shared" si="27"/>
        <v>3.1666666666666665</v>
      </c>
      <c r="D987" s="34">
        <f t="shared" si="26"/>
        <v>470.75</v>
      </c>
    </row>
    <row r="988" spans="1:4">
      <c r="A988" s="20">
        <v>986</v>
      </c>
      <c r="B988" s="34">
        <f t="shared" si="25"/>
        <v>19.7</v>
      </c>
      <c r="C988" s="34">
        <f t="shared" si="27"/>
        <v>3.1333333333333333</v>
      </c>
      <c r="D988" s="34">
        <f t="shared" si="26"/>
        <v>466.9</v>
      </c>
    </row>
    <row r="989" spans="1:4">
      <c r="A989" s="20">
        <v>987</v>
      </c>
      <c r="B989" s="34">
        <f t="shared" si="25"/>
        <v>19.649999999999999</v>
      </c>
      <c r="C989" s="34">
        <f t="shared" si="27"/>
        <v>3.1</v>
      </c>
      <c r="D989" s="34">
        <f t="shared" si="26"/>
        <v>463.05</v>
      </c>
    </row>
    <row r="990" spans="1:4">
      <c r="A990" s="20">
        <v>988</v>
      </c>
      <c r="B990" s="34">
        <f t="shared" si="25"/>
        <v>19.600000000000001</v>
      </c>
      <c r="C990" s="34">
        <f t="shared" si="27"/>
        <v>3.0666666666666669</v>
      </c>
      <c r="D990" s="34">
        <f t="shared" si="26"/>
        <v>459.2</v>
      </c>
    </row>
    <row r="991" spans="1:4">
      <c r="A991" s="20">
        <v>989</v>
      </c>
      <c r="B991" s="34">
        <f t="shared" si="25"/>
        <v>19.55</v>
      </c>
      <c r="C991" s="34">
        <f t="shared" si="27"/>
        <v>3.0333333333333332</v>
      </c>
      <c r="D991" s="34">
        <f t="shared" si="26"/>
        <v>455.35</v>
      </c>
    </row>
    <row r="992" spans="1:4">
      <c r="A992" s="20">
        <v>990</v>
      </c>
      <c r="B992" s="34">
        <f t="shared" si="25"/>
        <v>19.5</v>
      </c>
      <c r="C992" s="34">
        <f t="shared" si="27"/>
        <v>3</v>
      </c>
      <c r="D992" s="34">
        <f t="shared" si="26"/>
        <v>451.5</v>
      </c>
    </row>
    <row r="993" spans="1:4">
      <c r="A993" s="20">
        <v>991</v>
      </c>
      <c r="B993" s="34">
        <f t="shared" si="25"/>
        <v>19.45</v>
      </c>
      <c r="C993" s="34">
        <f t="shared" si="27"/>
        <v>2.9666666666666668</v>
      </c>
      <c r="D993" s="34">
        <f t="shared" si="26"/>
        <v>447.65</v>
      </c>
    </row>
    <row r="994" spans="1:4">
      <c r="A994" s="20">
        <v>992</v>
      </c>
      <c r="B994" s="34">
        <f t="shared" si="25"/>
        <v>19.399999999999999</v>
      </c>
      <c r="C994" s="34">
        <f t="shared" si="27"/>
        <v>2.9333333333333331</v>
      </c>
      <c r="D994" s="34">
        <f t="shared" si="26"/>
        <v>443.8</v>
      </c>
    </row>
    <row r="995" spans="1:4">
      <c r="A995" s="20">
        <v>993</v>
      </c>
      <c r="B995" s="34">
        <f t="shared" si="25"/>
        <v>19.350000000000001</v>
      </c>
      <c r="C995" s="34">
        <f t="shared" si="27"/>
        <v>2.9</v>
      </c>
      <c r="D995" s="34">
        <f t="shared" si="26"/>
        <v>439.95</v>
      </c>
    </row>
    <row r="996" spans="1:4">
      <c r="A996" s="20">
        <v>994</v>
      </c>
      <c r="B996" s="34">
        <f t="shared" si="25"/>
        <v>19.3</v>
      </c>
      <c r="C996" s="34">
        <f t="shared" si="27"/>
        <v>2.8666666666666667</v>
      </c>
      <c r="D996" s="34">
        <f t="shared" si="26"/>
        <v>436.1</v>
      </c>
    </row>
    <row r="997" spans="1:4">
      <c r="A997" s="20">
        <v>995</v>
      </c>
      <c r="B997" s="34">
        <f t="shared" si="25"/>
        <v>19.25</v>
      </c>
      <c r="C997" s="34">
        <f t="shared" si="27"/>
        <v>2.8333333333333335</v>
      </c>
      <c r="D997" s="34">
        <f t="shared" si="26"/>
        <v>432.25</v>
      </c>
    </row>
    <row r="998" spans="1:4">
      <c r="A998" s="20">
        <v>996</v>
      </c>
      <c r="B998" s="34">
        <f t="shared" si="25"/>
        <v>19.2</v>
      </c>
      <c r="C998" s="34">
        <f t="shared" si="27"/>
        <v>2.8</v>
      </c>
      <c r="D998" s="34">
        <f t="shared" si="26"/>
        <v>428.4</v>
      </c>
    </row>
    <row r="999" spans="1:4">
      <c r="A999" s="20">
        <v>997</v>
      </c>
      <c r="B999" s="34">
        <f t="shared" si="25"/>
        <v>19.149999999999999</v>
      </c>
      <c r="C999" s="34">
        <f t="shared" si="27"/>
        <v>2.7666666666666666</v>
      </c>
      <c r="D999" s="34">
        <f t="shared" si="26"/>
        <v>424.55</v>
      </c>
    </row>
    <row r="1000" spans="1:4">
      <c r="A1000" s="20">
        <v>998</v>
      </c>
      <c r="B1000" s="34">
        <f t="shared" si="25"/>
        <v>19.100000000000001</v>
      </c>
      <c r="C1000" s="34">
        <f t="shared" si="27"/>
        <v>2.7333333333333334</v>
      </c>
      <c r="D1000" s="34">
        <f t="shared" si="26"/>
        <v>420.7</v>
      </c>
    </row>
    <row r="1001" spans="1:4">
      <c r="A1001" s="20">
        <v>999</v>
      </c>
      <c r="B1001" s="34">
        <f t="shared" si="25"/>
        <v>19.05</v>
      </c>
      <c r="C1001" s="34">
        <f t="shared" si="27"/>
        <v>2.7</v>
      </c>
      <c r="D1001" s="34">
        <f t="shared" si="26"/>
        <v>416.85</v>
      </c>
    </row>
    <row r="1002" spans="1:4">
      <c r="A1002" s="20">
        <v>1000</v>
      </c>
      <c r="B1002" s="34">
        <f t="shared" si="25"/>
        <v>19</v>
      </c>
      <c r="C1002" s="34">
        <f t="shared" si="27"/>
        <v>2.6666666666666665</v>
      </c>
      <c r="D1002" s="34">
        <f t="shared" si="26"/>
        <v>413</v>
      </c>
    </row>
    <row r="1003" spans="1:4">
      <c r="A1003" s="20">
        <v>1001</v>
      </c>
      <c r="B1003" s="34">
        <f t="shared" si="25"/>
        <v>18.95</v>
      </c>
      <c r="C1003" s="34">
        <f t="shared" si="27"/>
        <v>2.6333333333333333</v>
      </c>
      <c r="D1003" s="34">
        <f t="shared" si="26"/>
        <v>409.15</v>
      </c>
    </row>
    <row r="1004" spans="1:4">
      <c r="A1004" s="20">
        <v>1002</v>
      </c>
      <c r="B1004" s="34">
        <f t="shared" si="25"/>
        <v>18.899999999999999</v>
      </c>
      <c r="C1004" s="34">
        <f t="shared" si="27"/>
        <v>2.6</v>
      </c>
      <c r="D1004" s="34">
        <f t="shared" si="26"/>
        <v>405.3</v>
      </c>
    </row>
    <row r="1005" spans="1:4">
      <c r="A1005" s="20">
        <v>1003</v>
      </c>
      <c r="B1005" s="34">
        <f t="shared" si="25"/>
        <v>18.850000000000001</v>
      </c>
      <c r="C1005" s="34">
        <f t="shared" si="27"/>
        <v>2.5666666666666669</v>
      </c>
      <c r="D1005" s="34">
        <f t="shared" si="26"/>
        <v>401.45</v>
      </c>
    </row>
    <row r="1006" spans="1:4">
      <c r="A1006" s="20">
        <v>1004</v>
      </c>
      <c r="B1006" s="34">
        <f t="shared" si="25"/>
        <v>18.8</v>
      </c>
      <c r="C1006" s="34">
        <f t="shared" si="27"/>
        <v>2.5333333333333332</v>
      </c>
      <c r="D1006" s="34">
        <f t="shared" si="26"/>
        <v>397.6</v>
      </c>
    </row>
    <row r="1007" spans="1:4">
      <c r="A1007" s="20">
        <v>1005</v>
      </c>
      <c r="B1007" s="34">
        <f t="shared" si="25"/>
        <v>18.75</v>
      </c>
      <c r="C1007" s="34">
        <f t="shared" si="27"/>
        <v>2.5</v>
      </c>
      <c r="D1007" s="34">
        <f t="shared" si="26"/>
        <v>393.75</v>
      </c>
    </row>
    <row r="1008" spans="1:4">
      <c r="A1008" s="20">
        <v>1006</v>
      </c>
      <c r="B1008" s="34">
        <f t="shared" si="25"/>
        <v>18.7</v>
      </c>
      <c r="C1008" s="34">
        <f t="shared" si="27"/>
        <v>2.4666666666666668</v>
      </c>
      <c r="D1008" s="34">
        <f t="shared" si="26"/>
        <v>389.9</v>
      </c>
    </row>
    <row r="1009" spans="1:4">
      <c r="A1009" s="20">
        <v>1007</v>
      </c>
      <c r="B1009" s="34">
        <f t="shared" si="25"/>
        <v>18.649999999999999</v>
      </c>
      <c r="C1009" s="34">
        <f t="shared" si="27"/>
        <v>2.4333333333333331</v>
      </c>
      <c r="D1009" s="34">
        <f t="shared" si="26"/>
        <v>386.05</v>
      </c>
    </row>
    <row r="1010" spans="1:4">
      <c r="A1010" s="20">
        <v>1008</v>
      </c>
      <c r="B1010" s="34">
        <f t="shared" si="25"/>
        <v>18.600000000000001</v>
      </c>
      <c r="C1010" s="34">
        <f t="shared" si="27"/>
        <v>2.4</v>
      </c>
      <c r="D1010" s="34">
        <f t="shared" si="26"/>
        <v>382.2</v>
      </c>
    </row>
    <row r="1011" spans="1:4">
      <c r="A1011" s="20">
        <v>1009</v>
      </c>
      <c r="B1011" s="34">
        <f t="shared" si="25"/>
        <v>18.55</v>
      </c>
      <c r="C1011" s="34">
        <f t="shared" si="27"/>
        <v>2.3666666666666667</v>
      </c>
      <c r="D1011" s="34">
        <f t="shared" si="26"/>
        <v>378.35</v>
      </c>
    </row>
    <row r="1012" spans="1:4">
      <c r="A1012" s="20">
        <v>1010</v>
      </c>
      <c r="B1012" s="34">
        <f t="shared" si="25"/>
        <v>18.5</v>
      </c>
      <c r="C1012" s="34">
        <f t="shared" si="27"/>
        <v>2.3333333333333335</v>
      </c>
      <c r="D1012" s="34">
        <f t="shared" si="26"/>
        <v>374.5</v>
      </c>
    </row>
    <row r="1013" spans="1:4">
      <c r="A1013" s="20">
        <v>1011</v>
      </c>
      <c r="B1013" s="34">
        <f t="shared" si="25"/>
        <v>18.45</v>
      </c>
      <c r="C1013" s="34">
        <f t="shared" si="27"/>
        <v>2.2999999999999998</v>
      </c>
      <c r="D1013" s="34">
        <f t="shared" si="26"/>
        <v>370.65</v>
      </c>
    </row>
    <row r="1014" spans="1:4">
      <c r="A1014" s="20">
        <v>1012</v>
      </c>
      <c r="B1014" s="34">
        <f t="shared" si="25"/>
        <v>18.399999999999999</v>
      </c>
      <c r="C1014" s="34">
        <f t="shared" si="27"/>
        <v>2.2666666666666666</v>
      </c>
      <c r="D1014" s="34">
        <f t="shared" si="26"/>
        <v>366.8</v>
      </c>
    </row>
    <row r="1015" spans="1:4">
      <c r="A1015" s="20">
        <v>1013</v>
      </c>
      <c r="B1015" s="34">
        <f t="shared" si="25"/>
        <v>18.350000000000001</v>
      </c>
      <c r="C1015" s="34">
        <f t="shared" si="27"/>
        <v>2.2333333333333334</v>
      </c>
      <c r="D1015" s="34">
        <f t="shared" si="26"/>
        <v>362.95</v>
      </c>
    </row>
    <row r="1016" spans="1:4">
      <c r="A1016" s="20">
        <v>1014</v>
      </c>
      <c r="B1016" s="34">
        <f t="shared" si="25"/>
        <v>18.3</v>
      </c>
      <c r="C1016" s="34">
        <f t="shared" si="27"/>
        <v>2.2000000000000002</v>
      </c>
      <c r="D1016" s="34">
        <f t="shared" si="26"/>
        <v>359.1</v>
      </c>
    </row>
    <row r="1017" spans="1:4">
      <c r="A1017" s="20">
        <v>1015</v>
      </c>
      <c r="B1017" s="34">
        <f t="shared" si="25"/>
        <v>18.25</v>
      </c>
      <c r="C1017" s="34">
        <f t="shared" si="27"/>
        <v>2.1666666666666665</v>
      </c>
      <c r="D1017" s="34">
        <f t="shared" si="26"/>
        <v>355.25</v>
      </c>
    </row>
    <row r="1018" spans="1:4">
      <c r="A1018" s="20">
        <v>1016</v>
      </c>
      <c r="B1018" s="34">
        <f t="shared" si="25"/>
        <v>18.2</v>
      </c>
      <c r="C1018" s="34">
        <f t="shared" si="27"/>
        <v>2.1333333333333333</v>
      </c>
      <c r="D1018" s="34">
        <f t="shared" si="26"/>
        <v>351.4</v>
      </c>
    </row>
    <row r="1019" spans="1:4">
      <c r="A1019" s="20">
        <v>1017</v>
      </c>
      <c r="B1019" s="34">
        <f t="shared" si="25"/>
        <v>18.149999999999999</v>
      </c>
      <c r="C1019" s="34">
        <f t="shared" si="27"/>
        <v>2.1</v>
      </c>
      <c r="D1019" s="34">
        <f t="shared" si="26"/>
        <v>347.55</v>
      </c>
    </row>
    <row r="1020" spans="1:4">
      <c r="A1020" s="20">
        <v>1018</v>
      </c>
      <c r="B1020" s="34">
        <f t="shared" si="25"/>
        <v>18.100000000000001</v>
      </c>
      <c r="C1020" s="34">
        <f t="shared" si="27"/>
        <v>2.0666666666666669</v>
      </c>
      <c r="D1020" s="34">
        <f t="shared" si="26"/>
        <v>343.7</v>
      </c>
    </row>
    <row r="1021" spans="1:4">
      <c r="A1021" s="20">
        <v>1019</v>
      </c>
      <c r="B1021" s="34">
        <f t="shared" si="25"/>
        <v>18.05</v>
      </c>
      <c r="C1021" s="34">
        <f t="shared" si="27"/>
        <v>2.0333333333333332</v>
      </c>
      <c r="D1021" s="34">
        <f t="shared" si="26"/>
        <v>339.85</v>
      </c>
    </row>
    <row r="1022" spans="1:4">
      <c r="A1022" s="20">
        <v>1020</v>
      </c>
      <c r="B1022" s="35">
        <v>18</v>
      </c>
      <c r="C1022" s="5">
        <v>2</v>
      </c>
      <c r="D1022" s="5">
        <v>336</v>
      </c>
    </row>
    <row r="1023" spans="1:4">
      <c r="A1023" s="20">
        <v>1021</v>
      </c>
      <c r="B1023" s="34">
        <f>(A1023-$A$1022)*-2/60+$B$1022</f>
        <v>17.966666666666665</v>
      </c>
      <c r="C1023" s="34">
        <f>(A1023-$A$1022)/-60+2</f>
        <v>1.9833333333333334</v>
      </c>
      <c r="D1023" s="34">
        <f>(A1023-$A$1022)*(5-336)/60+336</f>
        <v>330.48333333333335</v>
      </c>
    </row>
    <row r="1024" spans="1:4">
      <c r="A1024" s="20">
        <v>1022</v>
      </c>
      <c r="B1024" s="34">
        <f t="shared" ref="B1024:B1087" si="28">(A1024-$A$1022)*-2/60+$B$1022</f>
        <v>17.933333333333334</v>
      </c>
      <c r="C1024" s="34">
        <f t="shared" ref="C1024:C1081" si="29">(A1024-$A$1022)/-60+2</f>
        <v>1.9666666666666666</v>
      </c>
      <c r="D1024" s="34">
        <f t="shared" ref="D1024:D1081" si="30">(A1024-$A$1022)*(5-336)/60+336</f>
        <v>324.96666666666664</v>
      </c>
    </row>
    <row r="1025" spans="1:4">
      <c r="A1025" s="20">
        <v>1023</v>
      </c>
      <c r="B1025" s="34">
        <f t="shared" si="28"/>
        <v>17.899999999999999</v>
      </c>
      <c r="C1025" s="34">
        <f t="shared" si="29"/>
        <v>1.95</v>
      </c>
      <c r="D1025" s="34">
        <f t="shared" si="30"/>
        <v>319.45</v>
      </c>
    </row>
    <row r="1026" spans="1:4">
      <c r="A1026" s="20">
        <v>1024</v>
      </c>
      <c r="B1026" s="34">
        <f t="shared" si="28"/>
        <v>17.866666666666667</v>
      </c>
      <c r="C1026" s="34">
        <f t="shared" si="29"/>
        <v>1.9333333333333333</v>
      </c>
      <c r="D1026" s="34">
        <f t="shared" si="30"/>
        <v>313.93333333333334</v>
      </c>
    </row>
    <row r="1027" spans="1:4">
      <c r="A1027" s="20">
        <v>1025</v>
      </c>
      <c r="B1027" s="34">
        <f t="shared" si="28"/>
        <v>17.833333333333332</v>
      </c>
      <c r="C1027" s="34">
        <f t="shared" si="29"/>
        <v>1.9166666666666667</v>
      </c>
      <c r="D1027" s="34">
        <f t="shared" si="30"/>
        <v>308.41666666666669</v>
      </c>
    </row>
    <row r="1028" spans="1:4">
      <c r="A1028" s="20">
        <v>1026</v>
      </c>
      <c r="B1028" s="34">
        <f t="shared" si="28"/>
        <v>17.8</v>
      </c>
      <c r="C1028" s="34">
        <f t="shared" si="29"/>
        <v>1.9</v>
      </c>
      <c r="D1028" s="34">
        <f t="shared" si="30"/>
        <v>302.89999999999998</v>
      </c>
    </row>
    <row r="1029" spans="1:4">
      <c r="A1029" s="20">
        <v>1027</v>
      </c>
      <c r="B1029" s="34">
        <f t="shared" si="28"/>
        <v>17.766666666666666</v>
      </c>
      <c r="C1029" s="34">
        <f t="shared" si="29"/>
        <v>1.8833333333333333</v>
      </c>
      <c r="D1029" s="34">
        <f t="shared" si="30"/>
        <v>297.38333333333333</v>
      </c>
    </row>
    <row r="1030" spans="1:4">
      <c r="A1030" s="20">
        <v>1028</v>
      </c>
      <c r="B1030" s="34">
        <f t="shared" si="28"/>
        <v>17.733333333333334</v>
      </c>
      <c r="C1030" s="34">
        <f t="shared" si="29"/>
        <v>1.8666666666666667</v>
      </c>
      <c r="D1030" s="34">
        <f t="shared" si="30"/>
        <v>291.86666666666667</v>
      </c>
    </row>
    <row r="1031" spans="1:4">
      <c r="A1031" s="20">
        <v>1029</v>
      </c>
      <c r="B1031" s="34">
        <f t="shared" si="28"/>
        <v>17.7</v>
      </c>
      <c r="C1031" s="34">
        <f t="shared" si="29"/>
        <v>1.85</v>
      </c>
      <c r="D1031" s="34">
        <f t="shared" si="30"/>
        <v>286.35000000000002</v>
      </c>
    </row>
    <row r="1032" spans="1:4">
      <c r="A1032" s="20">
        <v>1030</v>
      </c>
      <c r="B1032" s="34">
        <f t="shared" si="28"/>
        <v>17.666666666666668</v>
      </c>
      <c r="C1032" s="34">
        <f t="shared" si="29"/>
        <v>1.8333333333333333</v>
      </c>
      <c r="D1032" s="34">
        <f t="shared" si="30"/>
        <v>280.83333333333331</v>
      </c>
    </row>
    <row r="1033" spans="1:4">
      <c r="A1033" s="20">
        <v>1031</v>
      </c>
      <c r="B1033" s="34">
        <f t="shared" si="28"/>
        <v>17.633333333333333</v>
      </c>
      <c r="C1033" s="34">
        <f t="shared" si="29"/>
        <v>1.8166666666666667</v>
      </c>
      <c r="D1033" s="34">
        <f t="shared" si="30"/>
        <v>275.31666666666666</v>
      </c>
    </row>
    <row r="1034" spans="1:4">
      <c r="A1034" s="20">
        <v>1032</v>
      </c>
      <c r="B1034" s="34">
        <f t="shared" si="28"/>
        <v>17.600000000000001</v>
      </c>
      <c r="C1034" s="34">
        <f t="shared" si="29"/>
        <v>1.8</v>
      </c>
      <c r="D1034" s="34">
        <f t="shared" si="30"/>
        <v>269.8</v>
      </c>
    </row>
    <row r="1035" spans="1:4">
      <c r="A1035" s="20">
        <v>1033</v>
      </c>
      <c r="B1035" s="34">
        <f t="shared" si="28"/>
        <v>17.566666666666666</v>
      </c>
      <c r="C1035" s="34">
        <f t="shared" si="29"/>
        <v>1.7833333333333332</v>
      </c>
      <c r="D1035" s="34">
        <f t="shared" si="30"/>
        <v>264.2833333333333</v>
      </c>
    </row>
    <row r="1036" spans="1:4">
      <c r="A1036" s="20">
        <v>1034</v>
      </c>
      <c r="B1036" s="34">
        <f t="shared" si="28"/>
        <v>17.533333333333335</v>
      </c>
      <c r="C1036" s="34">
        <f t="shared" si="29"/>
        <v>1.7666666666666666</v>
      </c>
      <c r="D1036" s="34">
        <f t="shared" si="30"/>
        <v>258.76666666666665</v>
      </c>
    </row>
    <row r="1037" spans="1:4">
      <c r="A1037" s="20">
        <v>1035</v>
      </c>
      <c r="B1037" s="34">
        <f t="shared" si="28"/>
        <v>17.5</v>
      </c>
      <c r="C1037" s="34">
        <f t="shared" si="29"/>
        <v>1.75</v>
      </c>
      <c r="D1037" s="34">
        <f t="shared" si="30"/>
        <v>253.25</v>
      </c>
    </row>
    <row r="1038" spans="1:4">
      <c r="A1038" s="20">
        <v>1036</v>
      </c>
      <c r="B1038" s="34">
        <f t="shared" si="28"/>
        <v>17.466666666666665</v>
      </c>
      <c r="C1038" s="34">
        <f t="shared" si="29"/>
        <v>1.7333333333333334</v>
      </c>
      <c r="D1038" s="34">
        <f t="shared" si="30"/>
        <v>247.73333333333335</v>
      </c>
    </row>
    <row r="1039" spans="1:4">
      <c r="A1039" s="20">
        <v>1037</v>
      </c>
      <c r="B1039" s="34">
        <f t="shared" si="28"/>
        <v>17.433333333333334</v>
      </c>
      <c r="C1039" s="34">
        <f t="shared" si="29"/>
        <v>1.7166666666666668</v>
      </c>
      <c r="D1039" s="34">
        <f t="shared" si="30"/>
        <v>242.21666666666667</v>
      </c>
    </row>
    <row r="1040" spans="1:4">
      <c r="A1040" s="20">
        <v>1038</v>
      </c>
      <c r="B1040" s="34">
        <f t="shared" si="28"/>
        <v>17.399999999999999</v>
      </c>
      <c r="C1040" s="34">
        <f t="shared" si="29"/>
        <v>1.7</v>
      </c>
      <c r="D1040" s="34">
        <f t="shared" si="30"/>
        <v>236.7</v>
      </c>
    </row>
    <row r="1041" spans="1:4">
      <c r="A1041" s="20">
        <v>1039</v>
      </c>
      <c r="B1041" s="34">
        <f t="shared" si="28"/>
        <v>17.366666666666667</v>
      </c>
      <c r="C1041" s="34">
        <f t="shared" si="29"/>
        <v>1.6833333333333333</v>
      </c>
      <c r="D1041" s="34">
        <f t="shared" si="30"/>
        <v>231.18333333333334</v>
      </c>
    </row>
    <row r="1042" spans="1:4">
      <c r="A1042" s="20">
        <v>1040</v>
      </c>
      <c r="B1042" s="34">
        <f t="shared" si="28"/>
        <v>17.333333333333332</v>
      </c>
      <c r="C1042" s="34">
        <f t="shared" si="29"/>
        <v>1.6666666666666667</v>
      </c>
      <c r="D1042" s="34">
        <f t="shared" si="30"/>
        <v>225.66666666666669</v>
      </c>
    </row>
    <row r="1043" spans="1:4">
      <c r="A1043" s="20">
        <v>1041</v>
      </c>
      <c r="B1043" s="34">
        <f t="shared" si="28"/>
        <v>17.3</v>
      </c>
      <c r="C1043" s="34">
        <f t="shared" si="29"/>
        <v>1.65</v>
      </c>
      <c r="D1043" s="34">
        <f t="shared" si="30"/>
        <v>220.15</v>
      </c>
    </row>
    <row r="1044" spans="1:4">
      <c r="A1044" s="20">
        <v>1042</v>
      </c>
      <c r="B1044" s="34">
        <f t="shared" si="28"/>
        <v>17.266666666666666</v>
      </c>
      <c r="C1044" s="34">
        <f t="shared" si="29"/>
        <v>1.6333333333333333</v>
      </c>
      <c r="D1044" s="34">
        <f t="shared" si="30"/>
        <v>214.63333333333333</v>
      </c>
    </row>
    <row r="1045" spans="1:4">
      <c r="A1045" s="20">
        <v>1043</v>
      </c>
      <c r="B1045" s="34">
        <f t="shared" si="28"/>
        <v>17.233333333333334</v>
      </c>
      <c r="C1045" s="34">
        <f t="shared" si="29"/>
        <v>1.6166666666666667</v>
      </c>
      <c r="D1045" s="34">
        <f t="shared" si="30"/>
        <v>209.11666666666667</v>
      </c>
    </row>
    <row r="1046" spans="1:4">
      <c r="A1046" s="20">
        <v>1044</v>
      </c>
      <c r="B1046" s="34">
        <f t="shared" si="28"/>
        <v>17.2</v>
      </c>
      <c r="C1046" s="34">
        <f t="shared" si="29"/>
        <v>1.6</v>
      </c>
      <c r="D1046" s="34">
        <f t="shared" si="30"/>
        <v>203.6</v>
      </c>
    </row>
    <row r="1047" spans="1:4">
      <c r="A1047" s="20">
        <v>1045</v>
      </c>
      <c r="B1047" s="34">
        <f t="shared" si="28"/>
        <v>17.166666666666668</v>
      </c>
      <c r="C1047" s="34">
        <f t="shared" si="29"/>
        <v>1.5833333333333333</v>
      </c>
      <c r="D1047" s="34">
        <f t="shared" si="30"/>
        <v>198.08333333333334</v>
      </c>
    </row>
    <row r="1048" spans="1:4">
      <c r="A1048" s="20">
        <v>1046</v>
      </c>
      <c r="B1048" s="34">
        <f t="shared" si="28"/>
        <v>17.133333333333333</v>
      </c>
      <c r="C1048" s="34">
        <f t="shared" si="29"/>
        <v>1.5666666666666667</v>
      </c>
      <c r="D1048" s="34">
        <f t="shared" si="30"/>
        <v>192.56666666666666</v>
      </c>
    </row>
    <row r="1049" spans="1:4">
      <c r="A1049" s="20">
        <v>1047</v>
      </c>
      <c r="B1049" s="34">
        <f t="shared" si="28"/>
        <v>17.100000000000001</v>
      </c>
      <c r="C1049" s="34">
        <f t="shared" si="29"/>
        <v>1.55</v>
      </c>
      <c r="D1049" s="34">
        <f t="shared" si="30"/>
        <v>187.05</v>
      </c>
    </row>
    <row r="1050" spans="1:4">
      <c r="A1050" s="20">
        <v>1048</v>
      </c>
      <c r="B1050" s="34">
        <f t="shared" si="28"/>
        <v>17.066666666666666</v>
      </c>
      <c r="C1050" s="34">
        <f t="shared" si="29"/>
        <v>1.5333333333333332</v>
      </c>
      <c r="D1050" s="34">
        <f t="shared" si="30"/>
        <v>181.53333333333333</v>
      </c>
    </row>
    <row r="1051" spans="1:4">
      <c r="A1051" s="20">
        <v>1049</v>
      </c>
      <c r="B1051" s="34">
        <f t="shared" si="28"/>
        <v>17.033333333333335</v>
      </c>
      <c r="C1051" s="34">
        <f t="shared" si="29"/>
        <v>1.5166666666666666</v>
      </c>
      <c r="D1051" s="34">
        <f t="shared" si="30"/>
        <v>176.01666666666668</v>
      </c>
    </row>
    <row r="1052" spans="1:4">
      <c r="A1052" s="20">
        <v>1050</v>
      </c>
      <c r="B1052" s="34">
        <f t="shared" si="28"/>
        <v>17</v>
      </c>
      <c r="C1052" s="34">
        <f t="shared" si="29"/>
        <v>1.5</v>
      </c>
      <c r="D1052" s="34">
        <f t="shared" si="30"/>
        <v>170.5</v>
      </c>
    </row>
    <row r="1053" spans="1:4">
      <c r="A1053" s="20">
        <v>1051</v>
      </c>
      <c r="B1053" s="34">
        <f t="shared" si="28"/>
        <v>16.966666666666665</v>
      </c>
      <c r="C1053" s="34">
        <f t="shared" si="29"/>
        <v>1.4833333333333334</v>
      </c>
      <c r="D1053" s="34">
        <f t="shared" si="30"/>
        <v>164.98333333333332</v>
      </c>
    </row>
    <row r="1054" spans="1:4">
      <c r="A1054" s="20">
        <v>1052</v>
      </c>
      <c r="B1054" s="34">
        <f t="shared" si="28"/>
        <v>16.933333333333334</v>
      </c>
      <c r="C1054" s="34">
        <f t="shared" si="29"/>
        <v>1.4666666666666668</v>
      </c>
      <c r="D1054" s="34">
        <f t="shared" si="30"/>
        <v>159.46666666666667</v>
      </c>
    </row>
    <row r="1055" spans="1:4">
      <c r="A1055" s="20">
        <v>1053</v>
      </c>
      <c r="B1055" s="34">
        <f t="shared" si="28"/>
        <v>16.899999999999999</v>
      </c>
      <c r="C1055" s="34">
        <f t="shared" si="29"/>
        <v>1.45</v>
      </c>
      <c r="D1055" s="34">
        <f t="shared" si="30"/>
        <v>153.94999999999999</v>
      </c>
    </row>
    <row r="1056" spans="1:4">
      <c r="A1056" s="20">
        <v>1054</v>
      </c>
      <c r="B1056" s="34">
        <f t="shared" si="28"/>
        <v>16.866666666666667</v>
      </c>
      <c r="C1056" s="34">
        <f t="shared" si="29"/>
        <v>1.4333333333333333</v>
      </c>
      <c r="D1056" s="34">
        <f t="shared" si="30"/>
        <v>148.43333333333334</v>
      </c>
    </row>
    <row r="1057" spans="1:4">
      <c r="A1057" s="20">
        <v>1055</v>
      </c>
      <c r="B1057" s="34">
        <f t="shared" si="28"/>
        <v>16.833333333333332</v>
      </c>
      <c r="C1057" s="34">
        <f t="shared" si="29"/>
        <v>1.4166666666666665</v>
      </c>
      <c r="D1057" s="34">
        <f t="shared" si="30"/>
        <v>142.91666666666666</v>
      </c>
    </row>
    <row r="1058" spans="1:4">
      <c r="A1058" s="20">
        <v>1056</v>
      </c>
      <c r="B1058" s="34">
        <f t="shared" si="28"/>
        <v>16.8</v>
      </c>
      <c r="C1058" s="34">
        <f t="shared" si="29"/>
        <v>1.4</v>
      </c>
      <c r="D1058" s="34">
        <f t="shared" si="30"/>
        <v>137.4</v>
      </c>
    </row>
    <row r="1059" spans="1:4">
      <c r="A1059" s="20">
        <v>1057</v>
      </c>
      <c r="B1059" s="34">
        <f t="shared" si="28"/>
        <v>16.766666666666666</v>
      </c>
      <c r="C1059" s="34">
        <f t="shared" si="29"/>
        <v>1.3833333333333333</v>
      </c>
      <c r="D1059" s="34">
        <f t="shared" si="30"/>
        <v>131.88333333333333</v>
      </c>
    </row>
    <row r="1060" spans="1:4">
      <c r="A1060" s="20">
        <v>1058</v>
      </c>
      <c r="B1060" s="34">
        <f t="shared" si="28"/>
        <v>16.733333333333334</v>
      </c>
      <c r="C1060" s="34">
        <f t="shared" si="29"/>
        <v>1.3666666666666667</v>
      </c>
      <c r="D1060" s="34">
        <f t="shared" si="30"/>
        <v>126.36666666666667</v>
      </c>
    </row>
    <row r="1061" spans="1:4">
      <c r="A1061" s="20">
        <v>1059</v>
      </c>
      <c r="B1061" s="34">
        <f t="shared" si="28"/>
        <v>16.7</v>
      </c>
      <c r="C1061" s="34">
        <f t="shared" si="29"/>
        <v>1.35</v>
      </c>
      <c r="D1061" s="34">
        <f t="shared" si="30"/>
        <v>120.85</v>
      </c>
    </row>
    <row r="1062" spans="1:4">
      <c r="A1062" s="20">
        <v>1060</v>
      </c>
      <c r="B1062" s="34">
        <f t="shared" si="28"/>
        <v>16.666666666666668</v>
      </c>
      <c r="C1062" s="34">
        <f t="shared" si="29"/>
        <v>1.3333333333333335</v>
      </c>
      <c r="D1062" s="34">
        <f t="shared" si="30"/>
        <v>115.33333333333334</v>
      </c>
    </row>
    <row r="1063" spans="1:4">
      <c r="A1063" s="20">
        <v>1061</v>
      </c>
      <c r="B1063" s="34">
        <f t="shared" si="28"/>
        <v>16.633333333333333</v>
      </c>
      <c r="C1063" s="34">
        <f t="shared" si="29"/>
        <v>1.3166666666666667</v>
      </c>
      <c r="D1063" s="34">
        <f t="shared" si="30"/>
        <v>109.81666666666666</v>
      </c>
    </row>
    <row r="1064" spans="1:4">
      <c r="A1064" s="20">
        <v>1062</v>
      </c>
      <c r="B1064" s="34">
        <f t="shared" si="28"/>
        <v>16.600000000000001</v>
      </c>
      <c r="C1064" s="34">
        <f t="shared" si="29"/>
        <v>1.3</v>
      </c>
      <c r="D1064" s="34">
        <f t="shared" si="30"/>
        <v>104.30000000000001</v>
      </c>
    </row>
    <row r="1065" spans="1:4">
      <c r="A1065" s="20">
        <v>1063</v>
      </c>
      <c r="B1065" s="34">
        <f t="shared" si="28"/>
        <v>16.566666666666666</v>
      </c>
      <c r="C1065" s="34">
        <f t="shared" si="29"/>
        <v>1.2833333333333332</v>
      </c>
      <c r="D1065" s="34">
        <f t="shared" si="30"/>
        <v>98.783333333333331</v>
      </c>
    </row>
    <row r="1066" spans="1:4">
      <c r="A1066" s="20">
        <v>1064</v>
      </c>
      <c r="B1066" s="34">
        <f t="shared" si="28"/>
        <v>16.533333333333335</v>
      </c>
      <c r="C1066" s="34">
        <f t="shared" si="29"/>
        <v>1.2666666666666666</v>
      </c>
      <c r="D1066" s="34">
        <f t="shared" si="30"/>
        <v>93.26666666666668</v>
      </c>
    </row>
    <row r="1067" spans="1:4">
      <c r="A1067" s="20">
        <v>1065</v>
      </c>
      <c r="B1067" s="34">
        <f t="shared" si="28"/>
        <v>16.5</v>
      </c>
      <c r="C1067" s="34">
        <f t="shared" si="29"/>
        <v>1.25</v>
      </c>
      <c r="D1067" s="34">
        <f t="shared" si="30"/>
        <v>87.75</v>
      </c>
    </row>
    <row r="1068" spans="1:4">
      <c r="A1068" s="20">
        <v>1066</v>
      </c>
      <c r="B1068" s="34">
        <f t="shared" si="28"/>
        <v>16.466666666666665</v>
      </c>
      <c r="C1068" s="34">
        <f t="shared" si="29"/>
        <v>1.2333333333333334</v>
      </c>
      <c r="D1068" s="34">
        <f t="shared" si="30"/>
        <v>82.23333333333332</v>
      </c>
    </row>
    <row r="1069" spans="1:4">
      <c r="A1069" s="20">
        <v>1067</v>
      </c>
      <c r="B1069" s="34">
        <f t="shared" si="28"/>
        <v>16.433333333333334</v>
      </c>
      <c r="C1069" s="34">
        <f t="shared" si="29"/>
        <v>1.2166666666666668</v>
      </c>
      <c r="D1069" s="34">
        <f t="shared" si="30"/>
        <v>76.71666666666664</v>
      </c>
    </row>
    <row r="1070" spans="1:4">
      <c r="A1070" s="20">
        <v>1068</v>
      </c>
      <c r="B1070" s="34">
        <f t="shared" si="28"/>
        <v>16.399999999999999</v>
      </c>
      <c r="C1070" s="34">
        <f t="shared" si="29"/>
        <v>1.2</v>
      </c>
      <c r="D1070" s="34">
        <f t="shared" si="30"/>
        <v>71.199999999999989</v>
      </c>
    </row>
    <row r="1071" spans="1:4">
      <c r="A1071" s="20">
        <v>1069</v>
      </c>
      <c r="B1071" s="34">
        <f t="shared" si="28"/>
        <v>16.366666666666667</v>
      </c>
      <c r="C1071" s="34">
        <f t="shared" si="29"/>
        <v>1.1833333333333333</v>
      </c>
      <c r="D1071" s="34">
        <f t="shared" si="30"/>
        <v>65.683333333333337</v>
      </c>
    </row>
    <row r="1072" spans="1:4">
      <c r="A1072" s="20">
        <v>1070</v>
      </c>
      <c r="B1072" s="34">
        <f t="shared" si="28"/>
        <v>16.333333333333332</v>
      </c>
      <c r="C1072" s="34">
        <f t="shared" si="29"/>
        <v>1.1666666666666665</v>
      </c>
      <c r="D1072" s="34">
        <f t="shared" si="30"/>
        <v>60.166666666666686</v>
      </c>
    </row>
    <row r="1073" spans="1:4">
      <c r="A1073" s="20">
        <v>1071</v>
      </c>
      <c r="B1073" s="34">
        <f t="shared" si="28"/>
        <v>16.3</v>
      </c>
      <c r="C1073" s="34">
        <f t="shared" si="29"/>
        <v>1.1499999999999999</v>
      </c>
      <c r="D1073" s="34">
        <f t="shared" si="30"/>
        <v>54.649999999999977</v>
      </c>
    </row>
    <row r="1074" spans="1:4">
      <c r="A1074" s="20">
        <v>1072</v>
      </c>
      <c r="B1074" s="34">
        <f t="shared" si="28"/>
        <v>16.266666666666666</v>
      </c>
      <c r="C1074" s="34">
        <f t="shared" si="29"/>
        <v>1.1333333333333333</v>
      </c>
      <c r="D1074" s="34">
        <f t="shared" si="30"/>
        <v>49.133333333333326</v>
      </c>
    </row>
    <row r="1075" spans="1:4">
      <c r="A1075" s="20">
        <v>1073</v>
      </c>
      <c r="B1075" s="34">
        <f t="shared" si="28"/>
        <v>16.233333333333334</v>
      </c>
      <c r="C1075" s="34">
        <f t="shared" si="29"/>
        <v>1.1166666666666667</v>
      </c>
      <c r="D1075" s="34">
        <f t="shared" si="30"/>
        <v>43.616666666666674</v>
      </c>
    </row>
    <row r="1076" spans="1:4">
      <c r="A1076" s="20">
        <v>1074</v>
      </c>
      <c r="B1076" s="34">
        <f t="shared" si="28"/>
        <v>16.2</v>
      </c>
      <c r="C1076" s="34">
        <f t="shared" si="29"/>
        <v>1.1000000000000001</v>
      </c>
      <c r="D1076" s="34">
        <f t="shared" si="30"/>
        <v>38.100000000000023</v>
      </c>
    </row>
    <row r="1077" spans="1:4">
      <c r="A1077" s="20">
        <v>1075</v>
      </c>
      <c r="B1077" s="34">
        <f t="shared" si="28"/>
        <v>16.166666666666668</v>
      </c>
      <c r="C1077" s="34">
        <f t="shared" si="29"/>
        <v>1.0833333333333335</v>
      </c>
      <c r="D1077" s="34">
        <f t="shared" si="30"/>
        <v>32.583333333333314</v>
      </c>
    </row>
    <row r="1078" spans="1:4">
      <c r="A1078" s="20">
        <v>1076</v>
      </c>
      <c r="B1078" s="34">
        <f t="shared" si="28"/>
        <v>16.133333333333333</v>
      </c>
      <c r="C1078" s="34">
        <f t="shared" si="29"/>
        <v>1.0666666666666667</v>
      </c>
      <c r="D1078" s="34">
        <f t="shared" si="30"/>
        <v>27.066666666666663</v>
      </c>
    </row>
    <row r="1079" spans="1:4">
      <c r="A1079" s="20">
        <v>1077</v>
      </c>
      <c r="B1079" s="34">
        <f t="shared" si="28"/>
        <v>16.100000000000001</v>
      </c>
      <c r="C1079" s="34">
        <f t="shared" si="29"/>
        <v>1.05</v>
      </c>
      <c r="D1079" s="34">
        <f t="shared" si="30"/>
        <v>21.550000000000011</v>
      </c>
    </row>
    <row r="1080" spans="1:4">
      <c r="A1080" s="20">
        <v>1078</v>
      </c>
      <c r="B1080" s="34">
        <f t="shared" si="28"/>
        <v>16.066666666666666</v>
      </c>
      <c r="C1080" s="34">
        <f t="shared" si="29"/>
        <v>1.0333333333333332</v>
      </c>
      <c r="D1080" s="34">
        <f t="shared" si="30"/>
        <v>16.03333333333336</v>
      </c>
    </row>
    <row r="1081" spans="1:4">
      <c r="A1081" s="20">
        <v>1079</v>
      </c>
      <c r="B1081" s="34">
        <f t="shared" si="28"/>
        <v>16.033333333333335</v>
      </c>
      <c r="C1081" s="34">
        <f t="shared" si="29"/>
        <v>1.0166666666666666</v>
      </c>
      <c r="D1081" s="34">
        <f t="shared" si="30"/>
        <v>10.516666666666652</v>
      </c>
    </row>
    <row r="1082" spans="1:4">
      <c r="A1082" s="20">
        <v>1080</v>
      </c>
      <c r="B1082" s="35">
        <v>16</v>
      </c>
      <c r="C1082" s="5">
        <v>1</v>
      </c>
      <c r="D1082" s="5">
        <v>5</v>
      </c>
    </row>
    <row r="1083" spans="1:4">
      <c r="A1083" s="20">
        <v>1081</v>
      </c>
      <c r="B1083" s="34">
        <f t="shared" si="28"/>
        <v>15.966666666666667</v>
      </c>
      <c r="C1083" s="34">
        <f>(A1083-$A$1082)/60+1</f>
        <v>1.0166666666666666</v>
      </c>
      <c r="D1083" s="34">
        <f>(A1083-$A$1082)/60*-5+5</f>
        <v>4.916666666666667</v>
      </c>
    </row>
    <row r="1084" spans="1:4">
      <c r="A1084" s="20">
        <v>1082</v>
      </c>
      <c r="B1084" s="34">
        <f t="shared" si="28"/>
        <v>15.933333333333334</v>
      </c>
      <c r="C1084" s="34">
        <f t="shared" ref="C1084:C1141" si="31">(A1084-$A$1082)/60+1</f>
        <v>1.0333333333333334</v>
      </c>
      <c r="D1084" s="34">
        <f t="shared" ref="D1084:D1141" si="32">(A1084-$A$1082)/60*-5+5</f>
        <v>4.833333333333333</v>
      </c>
    </row>
    <row r="1085" spans="1:4">
      <c r="A1085" s="20">
        <v>1083</v>
      </c>
      <c r="B1085" s="34">
        <f t="shared" si="28"/>
        <v>15.9</v>
      </c>
      <c r="C1085" s="34">
        <f t="shared" si="31"/>
        <v>1.05</v>
      </c>
      <c r="D1085" s="34">
        <f t="shared" si="32"/>
        <v>4.75</v>
      </c>
    </row>
    <row r="1086" spans="1:4">
      <c r="A1086" s="20">
        <v>1084</v>
      </c>
      <c r="B1086" s="34">
        <f t="shared" si="28"/>
        <v>15.866666666666667</v>
      </c>
      <c r="C1086" s="34">
        <f t="shared" si="31"/>
        <v>1.0666666666666667</v>
      </c>
      <c r="D1086" s="34">
        <f t="shared" si="32"/>
        <v>4.666666666666667</v>
      </c>
    </row>
    <row r="1087" spans="1:4">
      <c r="A1087" s="20">
        <v>1085</v>
      </c>
      <c r="B1087" s="34">
        <f t="shared" si="28"/>
        <v>15.833333333333334</v>
      </c>
      <c r="C1087" s="34">
        <f t="shared" si="31"/>
        <v>1.0833333333333333</v>
      </c>
      <c r="D1087" s="34">
        <f t="shared" si="32"/>
        <v>4.583333333333333</v>
      </c>
    </row>
    <row r="1088" spans="1:4">
      <c r="A1088" s="20">
        <v>1086</v>
      </c>
      <c r="B1088" s="34">
        <f t="shared" ref="B1088:B1141" si="33">(A1088-$A$1022)*-2/60+$B$1022</f>
        <v>15.8</v>
      </c>
      <c r="C1088" s="34">
        <f t="shared" si="31"/>
        <v>1.1000000000000001</v>
      </c>
      <c r="D1088" s="34">
        <f t="shared" si="32"/>
        <v>4.5</v>
      </c>
    </row>
    <row r="1089" spans="1:4">
      <c r="A1089" s="20">
        <v>1087</v>
      </c>
      <c r="B1089" s="34">
        <f t="shared" si="33"/>
        <v>15.766666666666666</v>
      </c>
      <c r="C1089" s="34">
        <f t="shared" si="31"/>
        <v>1.1166666666666667</v>
      </c>
      <c r="D1089" s="34">
        <f t="shared" si="32"/>
        <v>4.416666666666667</v>
      </c>
    </row>
    <row r="1090" spans="1:4">
      <c r="A1090" s="20">
        <v>1088</v>
      </c>
      <c r="B1090" s="34">
        <f t="shared" si="33"/>
        <v>15.733333333333334</v>
      </c>
      <c r="C1090" s="34">
        <f t="shared" si="31"/>
        <v>1.1333333333333333</v>
      </c>
      <c r="D1090" s="34">
        <f t="shared" si="32"/>
        <v>4.333333333333333</v>
      </c>
    </row>
    <row r="1091" spans="1:4">
      <c r="A1091" s="20">
        <v>1089</v>
      </c>
      <c r="B1091" s="34">
        <f t="shared" si="33"/>
        <v>15.7</v>
      </c>
      <c r="C1091" s="34">
        <f t="shared" si="31"/>
        <v>1.1499999999999999</v>
      </c>
      <c r="D1091" s="34">
        <f t="shared" si="32"/>
        <v>4.25</v>
      </c>
    </row>
    <row r="1092" spans="1:4">
      <c r="A1092" s="20">
        <v>1090</v>
      </c>
      <c r="B1092" s="34">
        <f t="shared" si="33"/>
        <v>15.666666666666666</v>
      </c>
      <c r="C1092" s="34">
        <f t="shared" si="31"/>
        <v>1.1666666666666667</v>
      </c>
      <c r="D1092" s="34">
        <f t="shared" si="32"/>
        <v>4.166666666666667</v>
      </c>
    </row>
    <row r="1093" spans="1:4">
      <c r="A1093" s="20">
        <v>1091</v>
      </c>
      <c r="B1093" s="34">
        <f t="shared" si="33"/>
        <v>15.633333333333333</v>
      </c>
      <c r="C1093" s="34">
        <f t="shared" si="31"/>
        <v>1.1833333333333333</v>
      </c>
      <c r="D1093" s="34">
        <f t="shared" si="32"/>
        <v>4.083333333333333</v>
      </c>
    </row>
    <row r="1094" spans="1:4">
      <c r="A1094" s="20">
        <v>1092</v>
      </c>
      <c r="B1094" s="34">
        <f t="shared" si="33"/>
        <v>15.6</v>
      </c>
      <c r="C1094" s="34">
        <f t="shared" si="31"/>
        <v>1.2</v>
      </c>
      <c r="D1094" s="34">
        <f t="shared" si="32"/>
        <v>4</v>
      </c>
    </row>
    <row r="1095" spans="1:4">
      <c r="A1095" s="20">
        <v>1093</v>
      </c>
      <c r="B1095" s="34">
        <f t="shared" si="33"/>
        <v>15.566666666666666</v>
      </c>
      <c r="C1095" s="34">
        <f t="shared" si="31"/>
        <v>1.2166666666666668</v>
      </c>
      <c r="D1095" s="34">
        <f t="shared" si="32"/>
        <v>3.9166666666666665</v>
      </c>
    </row>
    <row r="1096" spans="1:4">
      <c r="A1096" s="20">
        <v>1094</v>
      </c>
      <c r="B1096" s="34">
        <f t="shared" si="33"/>
        <v>15.533333333333333</v>
      </c>
      <c r="C1096" s="34">
        <f t="shared" si="31"/>
        <v>1.2333333333333334</v>
      </c>
      <c r="D1096" s="34">
        <f t="shared" si="32"/>
        <v>3.833333333333333</v>
      </c>
    </row>
    <row r="1097" spans="1:4">
      <c r="A1097" s="20">
        <v>1095</v>
      </c>
      <c r="B1097" s="34">
        <f t="shared" si="33"/>
        <v>15.5</v>
      </c>
      <c r="C1097" s="34">
        <f t="shared" si="31"/>
        <v>1.25</v>
      </c>
      <c r="D1097" s="34">
        <f t="shared" si="32"/>
        <v>3.75</v>
      </c>
    </row>
    <row r="1098" spans="1:4">
      <c r="A1098" s="20">
        <v>1096</v>
      </c>
      <c r="B1098" s="34">
        <f t="shared" si="33"/>
        <v>15.466666666666667</v>
      </c>
      <c r="C1098" s="34">
        <f t="shared" si="31"/>
        <v>1.2666666666666666</v>
      </c>
      <c r="D1098" s="34">
        <f t="shared" si="32"/>
        <v>3.666666666666667</v>
      </c>
    </row>
    <row r="1099" spans="1:4">
      <c r="A1099" s="20">
        <v>1097</v>
      </c>
      <c r="B1099" s="34">
        <f t="shared" si="33"/>
        <v>15.433333333333334</v>
      </c>
      <c r="C1099" s="34">
        <f t="shared" si="31"/>
        <v>1.2833333333333332</v>
      </c>
      <c r="D1099" s="34">
        <f t="shared" si="32"/>
        <v>3.5833333333333335</v>
      </c>
    </row>
    <row r="1100" spans="1:4">
      <c r="A1100" s="20">
        <v>1098</v>
      </c>
      <c r="B1100" s="34">
        <f t="shared" si="33"/>
        <v>15.4</v>
      </c>
      <c r="C1100" s="34">
        <f t="shared" si="31"/>
        <v>1.3</v>
      </c>
      <c r="D1100" s="34">
        <f t="shared" si="32"/>
        <v>3.5</v>
      </c>
    </row>
    <row r="1101" spans="1:4">
      <c r="A1101" s="20">
        <v>1099</v>
      </c>
      <c r="B1101" s="34">
        <f t="shared" si="33"/>
        <v>15.366666666666667</v>
      </c>
      <c r="C1101" s="34">
        <f t="shared" si="31"/>
        <v>1.3166666666666667</v>
      </c>
      <c r="D1101" s="34">
        <f t="shared" si="32"/>
        <v>3.416666666666667</v>
      </c>
    </row>
    <row r="1102" spans="1:4">
      <c r="A1102" s="20">
        <v>1100</v>
      </c>
      <c r="B1102" s="34">
        <f t="shared" si="33"/>
        <v>15.333333333333334</v>
      </c>
      <c r="C1102" s="34">
        <f t="shared" si="31"/>
        <v>1.3333333333333333</v>
      </c>
      <c r="D1102" s="34">
        <f t="shared" si="32"/>
        <v>3.3333333333333335</v>
      </c>
    </row>
    <row r="1103" spans="1:4">
      <c r="A1103" s="20">
        <v>1101</v>
      </c>
      <c r="B1103" s="34">
        <f t="shared" si="33"/>
        <v>15.3</v>
      </c>
      <c r="C1103" s="34">
        <f t="shared" si="31"/>
        <v>1.35</v>
      </c>
      <c r="D1103" s="34">
        <f t="shared" si="32"/>
        <v>3.25</v>
      </c>
    </row>
    <row r="1104" spans="1:4">
      <c r="A1104" s="20">
        <v>1102</v>
      </c>
      <c r="B1104" s="34">
        <f t="shared" si="33"/>
        <v>15.266666666666666</v>
      </c>
      <c r="C1104" s="34">
        <f t="shared" si="31"/>
        <v>1.3666666666666667</v>
      </c>
      <c r="D1104" s="34">
        <f t="shared" si="32"/>
        <v>3.166666666666667</v>
      </c>
    </row>
    <row r="1105" spans="1:4">
      <c r="A1105" s="20">
        <v>1103</v>
      </c>
      <c r="B1105" s="34">
        <f t="shared" si="33"/>
        <v>15.233333333333334</v>
      </c>
      <c r="C1105" s="34">
        <f t="shared" si="31"/>
        <v>1.3833333333333333</v>
      </c>
      <c r="D1105" s="34">
        <f t="shared" si="32"/>
        <v>3.083333333333333</v>
      </c>
    </row>
    <row r="1106" spans="1:4">
      <c r="A1106" s="20">
        <v>1104</v>
      </c>
      <c r="B1106" s="34">
        <f t="shared" si="33"/>
        <v>15.2</v>
      </c>
      <c r="C1106" s="34">
        <f t="shared" si="31"/>
        <v>1.4</v>
      </c>
      <c r="D1106" s="34">
        <f t="shared" si="32"/>
        <v>3</v>
      </c>
    </row>
    <row r="1107" spans="1:4">
      <c r="A1107" s="20">
        <v>1105</v>
      </c>
      <c r="B1107" s="34">
        <f t="shared" si="33"/>
        <v>15.166666666666666</v>
      </c>
      <c r="C1107" s="34">
        <f t="shared" si="31"/>
        <v>1.4166666666666667</v>
      </c>
      <c r="D1107" s="34">
        <f t="shared" si="32"/>
        <v>2.9166666666666665</v>
      </c>
    </row>
    <row r="1108" spans="1:4">
      <c r="A1108" s="20">
        <v>1106</v>
      </c>
      <c r="B1108" s="34">
        <f t="shared" si="33"/>
        <v>15.133333333333333</v>
      </c>
      <c r="C1108" s="34">
        <f t="shared" si="31"/>
        <v>1.4333333333333333</v>
      </c>
      <c r="D1108" s="34">
        <f t="shared" si="32"/>
        <v>2.833333333333333</v>
      </c>
    </row>
    <row r="1109" spans="1:4">
      <c r="A1109" s="20">
        <v>1107</v>
      </c>
      <c r="B1109" s="34">
        <f t="shared" si="33"/>
        <v>15.1</v>
      </c>
      <c r="C1109" s="34">
        <f t="shared" si="31"/>
        <v>1.45</v>
      </c>
      <c r="D1109" s="34">
        <f t="shared" si="32"/>
        <v>2.75</v>
      </c>
    </row>
    <row r="1110" spans="1:4">
      <c r="A1110" s="20">
        <v>1108</v>
      </c>
      <c r="B1110" s="34">
        <f t="shared" si="33"/>
        <v>15.066666666666666</v>
      </c>
      <c r="C1110" s="34">
        <f t="shared" si="31"/>
        <v>1.4666666666666668</v>
      </c>
      <c r="D1110" s="34">
        <f t="shared" si="32"/>
        <v>2.6666666666666665</v>
      </c>
    </row>
    <row r="1111" spans="1:4">
      <c r="A1111" s="20">
        <v>1109</v>
      </c>
      <c r="B1111" s="34">
        <f t="shared" si="33"/>
        <v>15.033333333333333</v>
      </c>
      <c r="C1111" s="34">
        <f t="shared" si="31"/>
        <v>1.4833333333333334</v>
      </c>
      <c r="D1111" s="34">
        <f t="shared" si="32"/>
        <v>2.5833333333333335</v>
      </c>
    </row>
    <row r="1112" spans="1:4">
      <c r="A1112" s="20">
        <v>1110</v>
      </c>
      <c r="B1112" s="34">
        <f t="shared" si="33"/>
        <v>15</v>
      </c>
      <c r="C1112" s="34">
        <f t="shared" si="31"/>
        <v>1.5</v>
      </c>
      <c r="D1112" s="34">
        <f t="shared" si="32"/>
        <v>2.5</v>
      </c>
    </row>
    <row r="1113" spans="1:4">
      <c r="A1113" s="20">
        <v>1111</v>
      </c>
      <c r="B1113" s="34">
        <f t="shared" si="33"/>
        <v>14.966666666666667</v>
      </c>
      <c r="C1113" s="34">
        <f t="shared" si="31"/>
        <v>1.5166666666666666</v>
      </c>
      <c r="D1113" s="34">
        <f t="shared" si="32"/>
        <v>2.4166666666666665</v>
      </c>
    </row>
    <row r="1114" spans="1:4">
      <c r="A1114" s="20">
        <v>1112</v>
      </c>
      <c r="B1114" s="34">
        <f t="shared" si="33"/>
        <v>14.933333333333334</v>
      </c>
      <c r="C1114" s="34">
        <f t="shared" si="31"/>
        <v>1.5333333333333332</v>
      </c>
      <c r="D1114" s="34">
        <f t="shared" si="32"/>
        <v>2.3333333333333335</v>
      </c>
    </row>
    <row r="1115" spans="1:4">
      <c r="A1115" s="20">
        <v>1113</v>
      </c>
      <c r="B1115" s="34">
        <f t="shared" si="33"/>
        <v>14.9</v>
      </c>
      <c r="C1115" s="34">
        <f t="shared" si="31"/>
        <v>1.55</v>
      </c>
      <c r="D1115" s="34">
        <f t="shared" si="32"/>
        <v>2.25</v>
      </c>
    </row>
    <row r="1116" spans="1:4">
      <c r="A1116" s="20">
        <v>1114</v>
      </c>
      <c r="B1116" s="34">
        <f t="shared" si="33"/>
        <v>14.866666666666667</v>
      </c>
      <c r="C1116" s="34">
        <f t="shared" si="31"/>
        <v>1.5666666666666667</v>
      </c>
      <c r="D1116" s="34">
        <f t="shared" si="32"/>
        <v>2.166666666666667</v>
      </c>
    </row>
    <row r="1117" spans="1:4">
      <c r="A1117" s="20">
        <v>1115</v>
      </c>
      <c r="B1117" s="34">
        <f t="shared" si="33"/>
        <v>14.833333333333334</v>
      </c>
      <c r="C1117" s="34">
        <f t="shared" si="31"/>
        <v>1.5833333333333335</v>
      </c>
      <c r="D1117" s="34">
        <f t="shared" si="32"/>
        <v>2.083333333333333</v>
      </c>
    </row>
    <row r="1118" spans="1:4">
      <c r="A1118" s="20">
        <v>1116</v>
      </c>
      <c r="B1118" s="34">
        <f t="shared" si="33"/>
        <v>14.8</v>
      </c>
      <c r="C1118" s="34">
        <f t="shared" si="31"/>
        <v>1.6</v>
      </c>
      <c r="D1118" s="34">
        <f t="shared" si="32"/>
        <v>2</v>
      </c>
    </row>
    <row r="1119" spans="1:4">
      <c r="A1119" s="20">
        <v>1117</v>
      </c>
      <c r="B1119" s="34">
        <f t="shared" si="33"/>
        <v>14.766666666666666</v>
      </c>
      <c r="C1119" s="34">
        <f t="shared" si="31"/>
        <v>1.6166666666666667</v>
      </c>
      <c r="D1119" s="34">
        <f t="shared" si="32"/>
        <v>1.9166666666666665</v>
      </c>
    </row>
    <row r="1120" spans="1:4">
      <c r="A1120" s="20">
        <v>1118</v>
      </c>
      <c r="B1120" s="34">
        <f t="shared" si="33"/>
        <v>14.733333333333334</v>
      </c>
      <c r="C1120" s="34">
        <f t="shared" si="31"/>
        <v>1.6333333333333333</v>
      </c>
      <c r="D1120" s="34">
        <f t="shared" si="32"/>
        <v>1.8333333333333335</v>
      </c>
    </row>
    <row r="1121" spans="1:4">
      <c r="A1121" s="20">
        <v>1119</v>
      </c>
      <c r="B1121" s="34">
        <f t="shared" si="33"/>
        <v>14.7</v>
      </c>
      <c r="C1121" s="34">
        <f t="shared" si="31"/>
        <v>1.65</v>
      </c>
      <c r="D1121" s="34">
        <f t="shared" si="32"/>
        <v>1.75</v>
      </c>
    </row>
    <row r="1122" spans="1:4">
      <c r="A1122" s="20">
        <v>1120</v>
      </c>
      <c r="B1122" s="34">
        <f t="shared" si="33"/>
        <v>14.666666666666666</v>
      </c>
      <c r="C1122" s="34">
        <f t="shared" si="31"/>
        <v>1.6666666666666665</v>
      </c>
      <c r="D1122" s="34">
        <f t="shared" si="32"/>
        <v>1.666666666666667</v>
      </c>
    </row>
    <row r="1123" spans="1:4">
      <c r="A1123" s="20">
        <v>1121</v>
      </c>
      <c r="B1123" s="34">
        <f t="shared" si="33"/>
        <v>14.633333333333333</v>
      </c>
      <c r="C1123" s="34">
        <f t="shared" si="31"/>
        <v>1.6833333333333333</v>
      </c>
      <c r="D1123" s="34">
        <f t="shared" si="32"/>
        <v>1.583333333333333</v>
      </c>
    </row>
    <row r="1124" spans="1:4">
      <c r="A1124" s="20">
        <v>1122</v>
      </c>
      <c r="B1124" s="34">
        <f t="shared" si="33"/>
        <v>14.6</v>
      </c>
      <c r="C1124" s="34">
        <f t="shared" si="31"/>
        <v>1.7</v>
      </c>
      <c r="D1124" s="34">
        <f t="shared" si="32"/>
        <v>1.5</v>
      </c>
    </row>
    <row r="1125" spans="1:4">
      <c r="A1125" s="20">
        <v>1123</v>
      </c>
      <c r="B1125" s="34">
        <f t="shared" si="33"/>
        <v>14.566666666666666</v>
      </c>
      <c r="C1125" s="34">
        <f t="shared" si="31"/>
        <v>1.7166666666666668</v>
      </c>
      <c r="D1125" s="34">
        <f t="shared" si="32"/>
        <v>1.4166666666666665</v>
      </c>
    </row>
    <row r="1126" spans="1:4">
      <c r="A1126" s="20">
        <v>1124</v>
      </c>
      <c r="B1126" s="34">
        <f t="shared" si="33"/>
        <v>14.533333333333333</v>
      </c>
      <c r="C1126" s="34">
        <f t="shared" si="31"/>
        <v>1.7333333333333334</v>
      </c>
      <c r="D1126" s="34">
        <f t="shared" si="32"/>
        <v>1.3333333333333335</v>
      </c>
    </row>
    <row r="1127" spans="1:4">
      <c r="A1127" s="20">
        <v>1125</v>
      </c>
      <c r="B1127" s="34">
        <f t="shared" si="33"/>
        <v>14.5</v>
      </c>
      <c r="C1127" s="34">
        <f t="shared" si="31"/>
        <v>1.75</v>
      </c>
      <c r="D1127" s="34">
        <f t="shared" si="32"/>
        <v>1.25</v>
      </c>
    </row>
    <row r="1128" spans="1:4">
      <c r="A1128" s="20">
        <v>1126</v>
      </c>
      <c r="B1128" s="34">
        <f t="shared" si="33"/>
        <v>14.466666666666667</v>
      </c>
      <c r="C1128" s="34">
        <f t="shared" si="31"/>
        <v>1.7666666666666666</v>
      </c>
      <c r="D1128" s="34">
        <f t="shared" si="32"/>
        <v>1.1666666666666665</v>
      </c>
    </row>
    <row r="1129" spans="1:4">
      <c r="A1129" s="20">
        <v>1127</v>
      </c>
      <c r="B1129" s="34">
        <f t="shared" si="33"/>
        <v>14.433333333333334</v>
      </c>
      <c r="C1129" s="34">
        <f t="shared" si="31"/>
        <v>1.7833333333333332</v>
      </c>
      <c r="D1129" s="34">
        <f t="shared" si="32"/>
        <v>1.0833333333333335</v>
      </c>
    </row>
    <row r="1130" spans="1:4">
      <c r="A1130" s="20">
        <v>1128</v>
      </c>
      <c r="B1130" s="34">
        <f t="shared" si="33"/>
        <v>14.4</v>
      </c>
      <c r="C1130" s="34">
        <f t="shared" si="31"/>
        <v>1.8</v>
      </c>
      <c r="D1130" s="34">
        <f t="shared" si="32"/>
        <v>1</v>
      </c>
    </row>
    <row r="1131" spans="1:4">
      <c r="A1131" s="20">
        <v>1129</v>
      </c>
      <c r="B1131" s="34">
        <f t="shared" si="33"/>
        <v>14.366666666666667</v>
      </c>
      <c r="C1131" s="34">
        <f t="shared" si="31"/>
        <v>1.8166666666666667</v>
      </c>
      <c r="D1131" s="34">
        <f t="shared" si="32"/>
        <v>0.91666666666666696</v>
      </c>
    </row>
    <row r="1132" spans="1:4">
      <c r="A1132" s="20">
        <v>1130</v>
      </c>
      <c r="B1132" s="34">
        <f t="shared" si="33"/>
        <v>14.333333333333334</v>
      </c>
      <c r="C1132" s="34">
        <f t="shared" si="31"/>
        <v>1.8333333333333335</v>
      </c>
      <c r="D1132" s="34">
        <f t="shared" si="32"/>
        <v>0.83333333333333304</v>
      </c>
    </row>
    <row r="1133" spans="1:4">
      <c r="A1133" s="20">
        <v>1131</v>
      </c>
      <c r="B1133" s="34">
        <f t="shared" si="33"/>
        <v>14.3</v>
      </c>
      <c r="C1133" s="34">
        <f t="shared" si="31"/>
        <v>1.85</v>
      </c>
      <c r="D1133" s="34">
        <f t="shared" si="32"/>
        <v>0.75</v>
      </c>
    </row>
    <row r="1134" spans="1:4">
      <c r="A1134" s="20">
        <v>1132</v>
      </c>
      <c r="B1134" s="34">
        <f t="shared" si="33"/>
        <v>14.266666666666666</v>
      </c>
      <c r="C1134" s="34">
        <f t="shared" si="31"/>
        <v>1.8666666666666667</v>
      </c>
      <c r="D1134" s="34">
        <f t="shared" si="32"/>
        <v>0.66666666666666607</v>
      </c>
    </row>
    <row r="1135" spans="1:4">
      <c r="A1135" s="20">
        <v>1133</v>
      </c>
      <c r="B1135" s="34">
        <f t="shared" si="33"/>
        <v>14.233333333333334</v>
      </c>
      <c r="C1135" s="34">
        <f t="shared" si="31"/>
        <v>1.8833333333333333</v>
      </c>
      <c r="D1135" s="34">
        <f t="shared" si="32"/>
        <v>0.58333333333333393</v>
      </c>
    </row>
    <row r="1136" spans="1:4">
      <c r="A1136" s="20">
        <v>1134</v>
      </c>
      <c r="B1136" s="34">
        <f t="shared" si="33"/>
        <v>14.2</v>
      </c>
      <c r="C1136" s="34">
        <f t="shared" si="31"/>
        <v>1.9</v>
      </c>
      <c r="D1136" s="34">
        <f t="shared" si="32"/>
        <v>0.5</v>
      </c>
    </row>
    <row r="1137" spans="1:4">
      <c r="A1137" s="20">
        <v>1135</v>
      </c>
      <c r="B1137" s="34">
        <f t="shared" si="33"/>
        <v>14.166666666666666</v>
      </c>
      <c r="C1137" s="34">
        <f t="shared" si="31"/>
        <v>1.9166666666666665</v>
      </c>
      <c r="D1137" s="34">
        <f t="shared" si="32"/>
        <v>0.41666666666666696</v>
      </c>
    </row>
    <row r="1138" spans="1:4">
      <c r="A1138" s="20">
        <v>1136</v>
      </c>
      <c r="B1138" s="34">
        <f t="shared" si="33"/>
        <v>14.133333333333333</v>
      </c>
      <c r="C1138" s="34">
        <f t="shared" si="31"/>
        <v>1.9333333333333333</v>
      </c>
      <c r="D1138" s="34">
        <f t="shared" si="32"/>
        <v>0.33333333333333304</v>
      </c>
    </row>
    <row r="1139" spans="1:4">
      <c r="A1139" s="20">
        <v>1137</v>
      </c>
      <c r="B1139" s="34">
        <f t="shared" si="33"/>
        <v>14.1</v>
      </c>
      <c r="C1139" s="34">
        <f t="shared" si="31"/>
        <v>1.95</v>
      </c>
      <c r="D1139" s="34">
        <f t="shared" si="32"/>
        <v>0.25</v>
      </c>
    </row>
    <row r="1140" spans="1:4">
      <c r="A1140" s="20">
        <v>1138</v>
      </c>
      <c r="B1140" s="34">
        <f t="shared" si="33"/>
        <v>14.066666666666666</v>
      </c>
      <c r="C1140" s="34">
        <f t="shared" si="31"/>
        <v>1.9666666666666668</v>
      </c>
      <c r="D1140" s="34">
        <f t="shared" si="32"/>
        <v>0.16666666666666696</v>
      </c>
    </row>
    <row r="1141" spans="1:4">
      <c r="A1141" s="20">
        <v>1139</v>
      </c>
      <c r="B1141" s="34">
        <f t="shared" si="33"/>
        <v>14.033333333333333</v>
      </c>
      <c r="C1141" s="34">
        <f t="shared" si="31"/>
        <v>1.9833333333333334</v>
      </c>
      <c r="D1141" s="34">
        <f t="shared" si="32"/>
        <v>8.3333333333333925E-2</v>
      </c>
    </row>
    <row r="1142" spans="1:4">
      <c r="A1142" s="20">
        <v>1140</v>
      </c>
      <c r="B1142" s="5">
        <v>14</v>
      </c>
      <c r="C1142" s="5">
        <v>2</v>
      </c>
      <c r="D1142" s="5">
        <v>0</v>
      </c>
    </row>
    <row r="1143" spans="1:4">
      <c r="A1143" s="20">
        <v>1141</v>
      </c>
      <c r="B1143" s="34">
        <f>(A1143-$A$1142)*-1/60+$B$1142</f>
        <v>13.983333333333333</v>
      </c>
      <c r="C1143" s="5">
        <v>2</v>
      </c>
      <c r="D1143" s="5">
        <v>0</v>
      </c>
    </row>
    <row r="1144" spans="1:4">
      <c r="A1144" s="20">
        <v>1142</v>
      </c>
      <c r="B1144" s="34">
        <f t="shared" ref="B1144:B1201" si="34">(A1144-$A$1142)*-1/60+$B$1142</f>
        <v>13.966666666666667</v>
      </c>
      <c r="C1144" s="5">
        <v>2</v>
      </c>
      <c r="D1144" s="5">
        <v>0</v>
      </c>
    </row>
    <row r="1145" spans="1:4">
      <c r="A1145" s="20">
        <v>1143</v>
      </c>
      <c r="B1145" s="34">
        <f t="shared" si="34"/>
        <v>13.95</v>
      </c>
      <c r="C1145" s="5">
        <v>2</v>
      </c>
      <c r="D1145" s="5">
        <v>0</v>
      </c>
    </row>
    <row r="1146" spans="1:4">
      <c r="A1146" s="20">
        <v>1144</v>
      </c>
      <c r="B1146" s="34">
        <f t="shared" si="34"/>
        <v>13.933333333333334</v>
      </c>
      <c r="C1146" s="5">
        <v>2</v>
      </c>
      <c r="D1146" s="5">
        <v>0</v>
      </c>
    </row>
    <row r="1147" spans="1:4">
      <c r="A1147" s="20">
        <v>1145</v>
      </c>
      <c r="B1147" s="34">
        <f t="shared" si="34"/>
        <v>13.916666666666666</v>
      </c>
      <c r="C1147" s="5">
        <v>2</v>
      </c>
      <c r="D1147" s="5">
        <v>0</v>
      </c>
    </row>
    <row r="1148" spans="1:4">
      <c r="A1148" s="20">
        <v>1146</v>
      </c>
      <c r="B1148" s="34">
        <f t="shared" si="34"/>
        <v>13.9</v>
      </c>
      <c r="C1148" s="5">
        <v>2</v>
      </c>
      <c r="D1148" s="5">
        <v>0</v>
      </c>
    </row>
    <row r="1149" spans="1:4">
      <c r="A1149" s="20">
        <v>1147</v>
      </c>
      <c r="B1149" s="34">
        <f t="shared" si="34"/>
        <v>13.883333333333333</v>
      </c>
      <c r="C1149" s="5">
        <v>2</v>
      </c>
      <c r="D1149" s="5">
        <v>0</v>
      </c>
    </row>
    <row r="1150" spans="1:4">
      <c r="A1150" s="20">
        <v>1148</v>
      </c>
      <c r="B1150" s="34">
        <f t="shared" si="34"/>
        <v>13.866666666666667</v>
      </c>
      <c r="C1150" s="5">
        <v>2</v>
      </c>
      <c r="D1150" s="5">
        <v>0</v>
      </c>
    </row>
    <row r="1151" spans="1:4">
      <c r="A1151" s="20">
        <v>1149</v>
      </c>
      <c r="B1151" s="34">
        <f t="shared" si="34"/>
        <v>13.85</v>
      </c>
      <c r="C1151" s="5">
        <v>2</v>
      </c>
      <c r="D1151" s="5">
        <v>0</v>
      </c>
    </row>
    <row r="1152" spans="1:4">
      <c r="A1152" s="20">
        <v>1150</v>
      </c>
      <c r="B1152" s="34">
        <f t="shared" si="34"/>
        <v>13.833333333333334</v>
      </c>
      <c r="C1152" s="5">
        <v>2</v>
      </c>
      <c r="D1152" s="5">
        <v>0</v>
      </c>
    </row>
    <row r="1153" spans="1:4">
      <c r="A1153" s="20">
        <v>1151</v>
      </c>
      <c r="B1153" s="34">
        <f t="shared" si="34"/>
        <v>13.816666666666666</v>
      </c>
      <c r="C1153" s="5">
        <v>2</v>
      </c>
      <c r="D1153" s="5">
        <v>0</v>
      </c>
    </row>
    <row r="1154" spans="1:4">
      <c r="A1154" s="20">
        <v>1152</v>
      </c>
      <c r="B1154" s="34">
        <f t="shared" si="34"/>
        <v>13.8</v>
      </c>
      <c r="C1154" s="5">
        <v>2</v>
      </c>
      <c r="D1154" s="5">
        <v>0</v>
      </c>
    </row>
    <row r="1155" spans="1:4">
      <c r="A1155" s="20">
        <v>1153</v>
      </c>
      <c r="B1155" s="34">
        <f t="shared" si="34"/>
        <v>13.783333333333333</v>
      </c>
      <c r="C1155" s="5">
        <v>2</v>
      </c>
      <c r="D1155" s="5">
        <v>0</v>
      </c>
    </row>
    <row r="1156" spans="1:4">
      <c r="A1156" s="20">
        <v>1154</v>
      </c>
      <c r="B1156" s="34">
        <f t="shared" si="34"/>
        <v>13.766666666666667</v>
      </c>
      <c r="C1156" s="5">
        <v>2</v>
      </c>
      <c r="D1156" s="5">
        <v>0</v>
      </c>
    </row>
    <row r="1157" spans="1:4">
      <c r="A1157" s="20">
        <v>1155</v>
      </c>
      <c r="B1157" s="34">
        <f t="shared" si="34"/>
        <v>13.75</v>
      </c>
      <c r="C1157" s="5">
        <v>2</v>
      </c>
      <c r="D1157" s="5">
        <v>0</v>
      </c>
    </row>
    <row r="1158" spans="1:4">
      <c r="A1158" s="20">
        <v>1156</v>
      </c>
      <c r="B1158" s="34">
        <f t="shared" si="34"/>
        <v>13.733333333333333</v>
      </c>
      <c r="C1158" s="5">
        <v>2</v>
      </c>
      <c r="D1158" s="5">
        <v>0</v>
      </c>
    </row>
    <row r="1159" spans="1:4">
      <c r="A1159" s="20">
        <v>1157</v>
      </c>
      <c r="B1159" s="34">
        <f t="shared" si="34"/>
        <v>13.716666666666667</v>
      </c>
      <c r="C1159" s="5">
        <v>2</v>
      </c>
      <c r="D1159" s="5">
        <v>0</v>
      </c>
    </row>
    <row r="1160" spans="1:4">
      <c r="A1160" s="20">
        <v>1158</v>
      </c>
      <c r="B1160" s="34">
        <f t="shared" si="34"/>
        <v>13.7</v>
      </c>
      <c r="C1160" s="5">
        <v>2</v>
      </c>
      <c r="D1160" s="5">
        <v>0</v>
      </c>
    </row>
    <row r="1161" spans="1:4">
      <c r="A1161" s="20">
        <v>1159</v>
      </c>
      <c r="B1161" s="34">
        <f t="shared" si="34"/>
        <v>13.683333333333334</v>
      </c>
      <c r="C1161" s="5">
        <v>2</v>
      </c>
      <c r="D1161" s="5">
        <v>0</v>
      </c>
    </row>
    <row r="1162" spans="1:4">
      <c r="A1162" s="20">
        <v>1160</v>
      </c>
      <c r="B1162" s="34">
        <f t="shared" si="34"/>
        <v>13.666666666666666</v>
      </c>
      <c r="C1162" s="5">
        <v>2</v>
      </c>
      <c r="D1162" s="5">
        <v>0</v>
      </c>
    </row>
    <row r="1163" spans="1:4">
      <c r="A1163" s="20">
        <v>1161</v>
      </c>
      <c r="B1163" s="34">
        <f t="shared" si="34"/>
        <v>13.65</v>
      </c>
      <c r="C1163" s="5">
        <v>2</v>
      </c>
      <c r="D1163" s="5">
        <v>0</v>
      </c>
    </row>
    <row r="1164" spans="1:4">
      <c r="A1164" s="20">
        <v>1162</v>
      </c>
      <c r="B1164" s="34">
        <f t="shared" si="34"/>
        <v>13.633333333333333</v>
      </c>
      <c r="C1164" s="5">
        <v>2</v>
      </c>
      <c r="D1164" s="5">
        <v>0</v>
      </c>
    </row>
    <row r="1165" spans="1:4">
      <c r="A1165" s="20">
        <v>1163</v>
      </c>
      <c r="B1165" s="34">
        <f t="shared" si="34"/>
        <v>13.616666666666667</v>
      </c>
      <c r="C1165" s="5">
        <v>2</v>
      </c>
      <c r="D1165" s="5">
        <v>0</v>
      </c>
    </row>
    <row r="1166" spans="1:4">
      <c r="A1166" s="20">
        <v>1164</v>
      </c>
      <c r="B1166" s="34">
        <f t="shared" si="34"/>
        <v>13.6</v>
      </c>
      <c r="C1166" s="5">
        <v>2</v>
      </c>
      <c r="D1166" s="5">
        <v>0</v>
      </c>
    </row>
    <row r="1167" spans="1:4">
      <c r="A1167" s="20">
        <v>1165</v>
      </c>
      <c r="B1167" s="34">
        <f t="shared" si="34"/>
        <v>13.583333333333334</v>
      </c>
      <c r="C1167" s="5">
        <v>2</v>
      </c>
      <c r="D1167" s="5">
        <v>0</v>
      </c>
    </row>
    <row r="1168" spans="1:4">
      <c r="A1168" s="20">
        <v>1166</v>
      </c>
      <c r="B1168" s="34">
        <f t="shared" si="34"/>
        <v>13.566666666666666</v>
      </c>
      <c r="C1168" s="5">
        <v>2</v>
      </c>
      <c r="D1168" s="5">
        <v>0</v>
      </c>
    </row>
    <row r="1169" spans="1:4">
      <c r="A1169" s="20">
        <v>1167</v>
      </c>
      <c r="B1169" s="34">
        <f t="shared" si="34"/>
        <v>13.55</v>
      </c>
      <c r="C1169" s="5">
        <v>2</v>
      </c>
      <c r="D1169" s="5">
        <v>0</v>
      </c>
    </row>
    <row r="1170" spans="1:4">
      <c r="A1170" s="20">
        <v>1168</v>
      </c>
      <c r="B1170" s="34">
        <f t="shared" si="34"/>
        <v>13.533333333333333</v>
      </c>
      <c r="C1170" s="5">
        <v>2</v>
      </c>
      <c r="D1170" s="5">
        <v>0</v>
      </c>
    </row>
    <row r="1171" spans="1:4">
      <c r="A1171" s="20">
        <v>1169</v>
      </c>
      <c r="B1171" s="34">
        <f t="shared" si="34"/>
        <v>13.516666666666667</v>
      </c>
      <c r="C1171" s="5">
        <v>2</v>
      </c>
      <c r="D1171" s="5">
        <v>0</v>
      </c>
    </row>
    <row r="1172" spans="1:4">
      <c r="A1172" s="20">
        <v>1170</v>
      </c>
      <c r="B1172" s="34">
        <f t="shared" si="34"/>
        <v>13.5</v>
      </c>
      <c r="C1172" s="5">
        <v>2</v>
      </c>
      <c r="D1172" s="5">
        <v>0</v>
      </c>
    </row>
    <row r="1173" spans="1:4">
      <c r="A1173" s="20">
        <v>1171</v>
      </c>
      <c r="B1173" s="34">
        <f t="shared" si="34"/>
        <v>13.483333333333333</v>
      </c>
      <c r="C1173" s="5">
        <v>2</v>
      </c>
      <c r="D1173" s="5">
        <v>0</v>
      </c>
    </row>
    <row r="1174" spans="1:4">
      <c r="A1174" s="20">
        <v>1172</v>
      </c>
      <c r="B1174" s="34">
        <f t="shared" si="34"/>
        <v>13.466666666666667</v>
      </c>
      <c r="C1174" s="5">
        <v>2</v>
      </c>
      <c r="D1174" s="5">
        <v>0</v>
      </c>
    </row>
    <row r="1175" spans="1:4">
      <c r="A1175" s="20">
        <v>1173</v>
      </c>
      <c r="B1175" s="34">
        <f t="shared" si="34"/>
        <v>13.45</v>
      </c>
      <c r="C1175" s="5">
        <v>2</v>
      </c>
      <c r="D1175" s="5">
        <v>0</v>
      </c>
    </row>
    <row r="1176" spans="1:4">
      <c r="A1176" s="20">
        <v>1174</v>
      </c>
      <c r="B1176" s="34">
        <f t="shared" si="34"/>
        <v>13.433333333333334</v>
      </c>
      <c r="C1176" s="5">
        <v>2</v>
      </c>
      <c r="D1176" s="5">
        <v>0</v>
      </c>
    </row>
    <row r="1177" spans="1:4">
      <c r="A1177" s="20">
        <v>1175</v>
      </c>
      <c r="B1177" s="34">
        <f t="shared" si="34"/>
        <v>13.416666666666666</v>
      </c>
      <c r="C1177" s="5">
        <v>2</v>
      </c>
      <c r="D1177" s="5">
        <v>0</v>
      </c>
    </row>
    <row r="1178" spans="1:4">
      <c r="A1178" s="20">
        <v>1176</v>
      </c>
      <c r="B1178" s="34">
        <f t="shared" si="34"/>
        <v>13.4</v>
      </c>
      <c r="C1178" s="5">
        <v>2</v>
      </c>
      <c r="D1178" s="5">
        <v>0</v>
      </c>
    </row>
    <row r="1179" spans="1:4">
      <c r="A1179" s="20">
        <v>1177</v>
      </c>
      <c r="B1179" s="34">
        <f t="shared" si="34"/>
        <v>13.383333333333333</v>
      </c>
      <c r="C1179" s="5">
        <v>2</v>
      </c>
      <c r="D1179" s="5">
        <v>0</v>
      </c>
    </row>
    <row r="1180" spans="1:4">
      <c r="A1180" s="20">
        <v>1178</v>
      </c>
      <c r="B1180" s="34">
        <f t="shared" si="34"/>
        <v>13.366666666666667</v>
      </c>
      <c r="C1180" s="5">
        <v>2</v>
      </c>
      <c r="D1180" s="5">
        <v>0</v>
      </c>
    </row>
    <row r="1181" spans="1:4">
      <c r="A1181" s="20">
        <v>1179</v>
      </c>
      <c r="B1181" s="34">
        <f t="shared" si="34"/>
        <v>13.35</v>
      </c>
      <c r="C1181" s="5">
        <v>2</v>
      </c>
      <c r="D1181" s="5">
        <v>0</v>
      </c>
    </row>
    <row r="1182" spans="1:4">
      <c r="A1182" s="20">
        <v>1180</v>
      </c>
      <c r="B1182" s="34">
        <f t="shared" si="34"/>
        <v>13.333333333333334</v>
      </c>
      <c r="C1182" s="5">
        <v>2</v>
      </c>
      <c r="D1182" s="5">
        <v>0</v>
      </c>
    </row>
    <row r="1183" spans="1:4">
      <c r="A1183" s="20">
        <v>1181</v>
      </c>
      <c r="B1183" s="34">
        <f t="shared" si="34"/>
        <v>13.316666666666666</v>
      </c>
      <c r="C1183" s="5">
        <v>2</v>
      </c>
      <c r="D1183" s="5">
        <v>0</v>
      </c>
    </row>
    <row r="1184" spans="1:4">
      <c r="A1184" s="20">
        <v>1182</v>
      </c>
      <c r="B1184" s="34">
        <f t="shared" si="34"/>
        <v>13.3</v>
      </c>
      <c r="C1184" s="5">
        <v>2</v>
      </c>
      <c r="D1184" s="5">
        <v>0</v>
      </c>
    </row>
    <row r="1185" spans="1:4">
      <c r="A1185" s="20">
        <v>1183</v>
      </c>
      <c r="B1185" s="34">
        <f t="shared" si="34"/>
        <v>13.283333333333333</v>
      </c>
      <c r="C1185" s="5">
        <v>2</v>
      </c>
      <c r="D1185" s="5">
        <v>0</v>
      </c>
    </row>
    <row r="1186" spans="1:4">
      <c r="A1186" s="20">
        <v>1184</v>
      </c>
      <c r="B1186" s="34">
        <f t="shared" si="34"/>
        <v>13.266666666666667</v>
      </c>
      <c r="C1186" s="5">
        <v>2</v>
      </c>
      <c r="D1186" s="5">
        <v>0</v>
      </c>
    </row>
    <row r="1187" spans="1:4">
      <c r="A1187" s="20">
        <v>1185</v>
      </c>
      <c r="B1187" s="34">
        <f t="shared" si="34"/>
        <v>13.25</v>
      </c>
      <c r="C1187" s="5">
        <v>2</v>
      </c>
      <c r="D1187" s="5">
        <v>0</v>
      </c>
    </row>
    <row r="1188" spans="1:4">
      <c r="A1188" s="20">
        <v>1186</v>
      </c>
      <c r="B1188" s="34">
        <f t="shared" si="34"/>
        <v>13.233333333333333</v>
      </c>
      <c r="C1188" s="5">
        <v>2</v>
      </c>
      <c r="D1188" s="5">
        <v>0</v>
      </c>
    </row>
    <row r="1189" spans="1:4">
      <c r="A1189" s="20">
        <v>1187</v>
      </c>
      <c r="B1189" s="34">
        <f t="shared" si="34"/>
        <v>13.216666666666667</v>
      </c>
      <c r="C1189" s="5">
        <v>2</v>
      </c>
      <c r="D1189" s="5">
        <v>0</v>
      </c>
    </row>
    <row r="1190" spans="1:4">
      <c r="A1190" s="20">
        <v>1188</v>
      </c>
      <c r="B1190" s="34">
        <f t="shared" si="34"/>
        <v>13.2</v>
      </c>
      <c r="C1190" s="5">
        <v>2</v>
      </c>
      <c r="D1190" s="5">
        <v>0</v>
      </c>
    </row>
    <row r="1191" spans="1:4">
      <c r="A1191" s="20">
        <v>1189</v>
      </c>
      <c r="B1191" s="34">
        <f t="shared" si="34"/>
        <v>13.183333333333334</v>
      </c>
      <c r="C1191" s="5">
        <v>2</v>
      </c>
      <c r="D1191" s="5">
        <v>0</v>
      </c>
    </row>
    <row r="1192" spans="1:4">
      <c r="A1192" s="20">
        <v>1190</v>
      </c>
      <c r="B1192" s="34">
        <f t="shared" si="34"/>
        <v>13.166666666666666</v>
      </c>
      <c r="C1192" s="5">
        <v>2</v>
      </c>
      <c r="D1192" s="5">
        <v>0</v>
      </c>
    </row>
    <row r="1193" spans="1:4">
      <c r="A1193" s="20">
        <v>1191</v>
      </c>
      <c r="B1193" s="34">
        <f t="shared" si="34"/>
        <v>13.15</v>
      </c>
      <c r="C1193" s="5">
        <v>2</v>
      </c>
      <c r="D1193" s="5">
        <v>0</v>
      </c>
    </row>
    <row r="1194" spans="1:4">
      <c r="A1194" s="20">
        <v>1192</v>
      </c>
      <c r="B1194" s="34">
        <f t="shared" si="34"/>
        <v>13.133333333333333</v>
      </c>
      <c r="C1194" s="5">
        <v>2</v>
      </c>
      <c r="D1194" s="5">
        <v>0</v>
      </c>
    </row>
    <row r="1195" spans="1:4">
      <c r="A1195" s="20">
        <v>1193</v>
      </c>
      <c r="B1195" s="34">
        <f t="shared" si="34"/>
        <v>13.116666666666667</v>
      </c>
      <c r="C1195" s="5">
        <v>2</v>
      </c>
      <c r="D1195" s="5">
        <v>0</v>
      </c>
    </row>
    <row r="1196" spans="1:4">
      <c r="A1196" s="20">
        <v>1194</v>
      </c>
      <c r="B1196" s="34">
        <f t="shared" si="34"/>
        <v>13.1</v>
      </c>
      <c r="C1196" s="5">
        <v>2</v>
      </c>
      <c r="D1196" s="5">
        <v>0</v>
      </c>
    </row>
    <row r="1197" spans="1:4">
      <c r="A1197" s="20">
        <v>1195</v>
      </c>
      <c r="B1197" s="34">
        <f t="shared" si="34"/>
        <v>13.083333333333334</v>
      </c>
      <c r="C1197" s="5">
        <v>2</v>
      </c>
      <c r="D1197" s="5">
        <v>0</v>
      </c>
    </row>
    <row r="1198" spans="1:4">
      <c r="A1198" s="20">
        <v>1196</v>
      </c>
      <c r="B1198" s="34">
        <f t="shared" si="34"/>
        <v>13.066666666666666</v>
      </c>
      <c r="C1198" s="5">
        <v>2</v>
      </c>
      <c r="D1198" s="5">
        <v>0</v>
      </c>
    </row>
    <row r="1199" spans="1:4">
      <c r="A1199" s="20">
        <v>1197</v>
      </c>
      <c r="B1199" s="34">
        <f t="shared" si="34"/>
        <v>13.05</v>
      </c>
      <c r="C1199" s="5">
        <v>2</v>
      </c>
      <c r="D1199" s="5">
        <v>0</v>
      </c>
    </row>
    <row r="1200" spans="1:4">
      <c r="A1200" s="20">
        <v>1198</v>
      </c>
      <c r="B1200" s="34">
        <f t="shared" si="34"/>
        <v>13.033333333333333</v>
      </c>
      <c r="C1200" s="5">
        <v>2</v>
      </c>
      <c r="D1200" s="5">
        <v>0</v>
      </c>
    </row>
    <row r="1201" spans="1:4">
      <c r="A1201" s="20">
        <v>1199</v>
      </c>
      <c r="B1201" s="34">
        <f t="shared" si="34"/>
        <v>13.016666666666667</v>
      </c>
      <c r="C1201" s="5">
        <v>2</v>
      </c>
      <c r="D1201" s="5">
        <v>0</v>
      </c>
    </row>
    <row r="1202" spans="1:4">
      <c r="A1202" s="20">
        <v>1200</v>
      </c>
      <c r="B1202" s="5">
        <v>13</v>
      </c>
      <c r="C1202" s="5">
        <v>2</v>
      </c>
      <c r="D1202" s="5">
        <v>0</v>
      </c>
    </row>
    <row r="1203" spans="1:4">
      <c r="A1203" s="20">
        <v>1201</v>
      </c>
      <c r="B1203" s="34">
        <f>(A1203-$A$1202)/-60+$B$1202</f>
        <v>12.983333333333333</v>
      </c>
      <c r="C1203" s="5">
        <v>2</v>
      </c>
      <c r="D1203" s="5">
        <v>0</v>
      </c>
    </row>
    <row r="1204" spans="1:4">
      <c r="A1204" s="20">
        <v>1202</v>
      </c>
      <c r="B1204" s="34">
        <f t="shared" ref="B1204:B1267" si="35">(A1204-$A$1202)/-60+$B$1202</f>
        <v>12.966666666666667</v>
      </c>
      <c r="C1204" s="5">
        <v>2</v>
      </c>
      <c r="D1204" s="5">
        <v>0</v>
      </c>
    </row>
    <row r="1205" spans="1:4">
      <c r="A1205" s="20">
        <v>1203</v>
      </c>
      <c r="B1205" s="34">
        <f t="shared" si="35"/>
        <v>12.95</v>
      </c>
      <c r="C1205" s="5">
        <v>2</v>
      </c>
      <c r="D1205" s="5">
        <v>0</v>
      </c>
    </row>
    <row r="1206" spans="1:4">
      <c r="A1206" s="20">
        <v>1204</v>
      </c>
      <c r="B1206" s="34">
        <f t="shared" si="35"/>
        <v>12.933333333333334</v>
      </c>
      <c r="C1206" s="5">
        <v>2</v>
      </c>
      <c r="D1206" s="5">
        <v>0</v>
      </c>
    </row>
    <row r="1207" spans="1:4">
      <c r="A1207" s="20">
        <v>1205</v>
      </c>
      <c r="B1207" s="34">
        <f t="shared" si="35"/>
        <v>12.916666666666666</v>
      </c>
      <c r="C1207" s="5">
        <v>2</v>
      </c>
      <c r="D1207" s="5">
        <v>0</v>
      </c>
    </row>
    <row r="1208" spans="1:4">
      <c r="A1208" s="20">
        <v>1206</v>
      </c>
      <c r="B1208" s="34">
        <f t="shared" si="35"/>
        <v>12.9</v>
      </c>
      <c r="C1208" s="5">
        <v>2</v>
      </c>
      <c r="D1208" s="5">
        <v>0</v>
      </c>
    </row>
    <row r="1209" spans="1:4">
      <c r="A1209" s="20">
        <v>1207</v>
      </c>
      <c r="B1209" s="34">
        <f t="shared" si="35"/>
        <v>12.883333333333333</v>
      </c>
      <c r="C1209" s="5">
        <v>2</v>
      </c>
      <c r="D1209" s="5">
        <v>0</v>
      </c>
    </row>
    <row r="1210" spans="1:4">
      <c r="A1210" s="20">
        <v>1208</v>
      </c>
      <c r="B1210" s="34">
        <f t="shared" si="35"/>
        <v>12.866666666666667</v>
      </c>
      <c r="C1210" s="5">
        <v>2</v>
      </c>
      <c r="D1210" s="5">
        <v>0</v>
      </c>
    </row>
    <row r="1211" spans="1:4">
      <c r="A1211" s="20">
        <v>1209</v>
      </c>
      <c r="B1211" s="34">
        <f t="shared" si="35"/>
        <v>12.85</v>
      </c>
      <c r="C1211" s="5">
        <v>2</v>
      </c>
      <c r="D1211" s="5">
        <v>0</v>
      </c>
    </row>
    <row r="1212" spans="1:4">
      <c r="A1212" s="20">
        <v>1210</v>
      </c>
      <c r="B1212" s="34">
        <f t="shared" si="35"/>
        <v>12.833333333333334</v>
      </c>
      <c r="C1212" s="5">
        <v>2</v>
      </c>
      <c r="D1212" s="5">
        <v>0</v>
      </c>
    </row>
    <row r="1213" spans="1:4">
      <c r="A1213" s="20">
        <v>1211</v>
      </c>
      <c r="B1213" s="34">
        <f t="shared" si="35"/>
        <v>12.816666666666666</v>
      </c>
      <c r="C1213" s="5">
        <v>2</v>
      </c>
      <c r="D1213" s="5">
        <v>0</v>
      </c>
    </row>
    <row r="1214" spans="1:4">
      <c r="A1214" s="20">
        <v>1212</v>
      </c>
      <c r="B1214" s="34">
        <f t="shared" si="35"/>
        <v>12.8</v>
      </c>
      <c r="C1214" s="5">
        <v>2</v>
      </c>
      <c r="D1214" s="5">
        <v>0</v>
      </c>
    </row>
    <row r="1215" spans="1:4">
      <c r="A1215" s="20">
        <v>1213</v>
      </c>
      <c r="B1215" s="34">
        <f t="shared" si="35"/>
        <v>12.783333333333333</v>
      </c>
      <c r="C1215" s="5">
        <v>2</v>
      </c>
      <c r="D1215" s="5">
        <v>0</v>
      </c>
    </row>
    <row r="1216" spans="1:4">
      <c r="A1216" s="20">
        <v>1214</v>
      </c>
      <c r="B1216" s="34">
        <f t="shared" si="35"/>
        <v>12.766666666666667</v>
      </c>
      <c r="C1216" s="5">
        <v>2</v>
      </c>
      <c r="D1216" s="5">
        <v>0</v>
      </c>
    </row>
    <row r="1217" spans="1:4">
      <c r="A1217" s="20">
        <v>1215</v>
      </c>
      <c r="B1217" s="34">
        <f t="shared" si="35"/>
        <v>12.75</v>
      </c>
      <c r="C1217" s="5">
        <v>2</v>
      </c>
      <c r="D1217" s="5">
        <v>0</v>
      </c>
    </row>
    <row r="1218" spans="1:4">
      <c r="A1218" s="20">
        <v>1216</v>
      </c>
      <c r="B1218" s="34">
        <f t="shared" si="35"/>
        <v>12.733333333333333</v>
      </c>
      <c r="C1218" s="5">
        <v>2</v>
      </c>
      <c r="D1218" s="5">
        <v>0</v>
      </c>
    </row>
    <row r="1219" spans="1:4">
      <c r="A1219" s="20">
        <v>1217</v>
      </c>
      <c r="B1219" s="34">
        <f t="shared" si="35"/>
        <v>12.716666666666667</v>
      </c>
      <c r="C1219" s="5">
        <v>2</v>
      </c>
      <c r="D1219" s="5">
        <v>0</v>
      </c>
    </row>
    <row r="1220" spans="1:4">
      <c r="A1220" s="20">
        <v>1218</v>
      </c>
      <c r="B1220" s="34">
        <f t="shared" si="35"/>
        <v>12.7</v>
      </c>
      <c r="C1220" s="5">
        <v>2</v>
      </c>
      <c r="D1220" s="5">
        <v>0</v>
      </c>
    </row>
    <row r="1221" spans="1:4">
      <c r="A1221" s="20">
        <v>1219</v>
      </c>
      <c r="B1221" s="34">
        <f t="shared" si="35"/>
        <v>12.683333333333334</v>
      </c>
      <c r="C1221" s="5">
        <v>2</v>
      </c>
      <c r="D1221" s="5">
        <v>0</v>
      </c>
    </row>
    <row r="1222" spans="1:4">
      <c r="A1222" s="20">
        <v>1220</v>
      </c>
      <c r="B1222" s="34">
        <f t="shared" si="35"/>
        <v>12.666666666666666</v>
      </c>
      <c r="C1222" s="5">
        <v>2</v>
      </c>
      <c r="D1222" s="5">
        <v>0</v>
      </c>
    </row>
    <row r="1223" spans="1:4">
      <c r="A1223" s="20">
        <v>1221</v>
      </c>
      <c r="B1223" s="34">
        <f t="shared" si="35"/>
        <v>12.65</v>
      </c>
      <c r="C1223" s="5">
        <v>2</v>
      </c>
      <c r="D1223" s="5">
        <v>0</v>
      </c>
    </row>
    <row r="1224" spans="1:4">
      <c r="A1224" s="20">
        <v>1222</v>
      </c>
      <c r="B1224" s="34">
        <f t="shared" si="35"/>
        <v>12.633333333333333</v>
      </c>
      <c r="C1224" s="5">
        <v>2</v>
      </c>
      <c r="D1224" s="5">
        <v>0</v>
      </c>
    </row>
    <row r="1225" spans="1:4">
      <c r="A1225" s="20">
        <v>1223</v>
      </c>
      <c r="B1225" s="34">
        <f t="shared" si="35"/>
        <v>12.616666666666667</v>
      </c>
      <c r="C1225" s="5">
        <v>2</v>
      </c>
      <c r="D1225" s="5">
        <v>0</v>
      </c>
    </row>
    <row r="1226" spans="1:4">
      <c r="A1226" s="20">
        <v>1224</v>
      </c>
      <c r="B1226" s="34">
        <f t="shared" si="35"/>
        <v>12.6</v>
      </c>
      <c r="C1226" s="5">
        <v>2</v>
      </c>
      <c r="D1226" s="5">
        <v>0</v>
      </c>
    </row>
    <row r="1227" spans="1:4">
      <c r="A1227" s="20">
        <v>1225</v>
      </c>
      <c r="B1227" s="34">
        <f t="shared" si="35"/>
        <v>12.583333333333334</v>
      </c>
      <c r="C1227" s="5">
        <v>2</v>
      </c>
      <c r="D1227" s="5">
        <v>0</v>
      </c>
    </row>
    <row r="1228" spans="1:4">
      <c r="A1228" s="20">
        <v>1226</v>
      </c>
      <c r="B1228" s="34">
        <f t="shared" si="35"/>
        <v>12.566666666666666</v>
      </c>
      <c r="C1228" s="5">
        <v>2</v>
      </c>
      <c r="D1228" s="5">
        <v>0</v>
      </c>
    </row>
    <row r="1229" spans="1:4">
      <c r="A1229" s="20">
        <v>1227</v>
      </c>
      <c r="B1229" s="34">
        <f t="shared" si="35"/>
        <v>12.55</v>
      </c>
      <c r="C1229" s="5">
        <v>2</v>
      </c>
      <c r="D1229" s="5">
        <v>0</v>
      </c>
    </row>
    <row r="1230" spans="1:4">
      <c r="A1230" s="20">
        <v>1228</v>
      </c>
      <c r="B1230" s="34">
        <f t="shared" si="35"/>
        <v>12.533333333333333</v>
      </c>
      <c r="C1230" s="5">
        <v>2</v>
      </c>
      <c r="D1230" s="5">
        <v>0</v>
      </c>
    </row>
    <row r="1231" spans="1:4">
      <c r="A1231" s="20">
        <v>1229</v>
      </c>
      <c r="B1231" s="34">
        <f t="shared" si="35"/>
        <v>12.516666666666667</v>
      </c>
      <c r="C1231" s="5">
        <v>2</v>
      </c>
      <c r="D1231" s="5">
        <v>0</v>
      </c>
    </row>
    <row r="1232" spans="1:4">
      <c r="A1232" s="20">
        <v>1230</v>
      </c>
      <c r="B1232" s="34">
        <f t="shared" si="35"/>
        <v>12.5</v>
      </c>
      <c r="C1232" s="5">
        <v>2</v>
      </c>
      <c r="D1232" s="5">
        <v>0</v>
      </c>
    </row>
    <row r="1233" spans="1:4">
      <c r="A1233" s="20">
        <v>1231</v>
      </c>
      <c r="B1233" s="34">
        <f t="shared" si="35"/>
        <v>12.483333333333333</v>
      </c>
      <c r="C1233" s="5">
        <v>2</v>
      </c>
      <c r="D1233" s="5">
        <v>0</v>
      </c>
    </row>
    <row r="1234" spans="1:4">
      <c r="A1234" s="20">
        <v>1232</v>
      </c>
      <c r="B1234" s="34">
        <f t="shared" si="35"/>
        <v>12.466666666666667</v>
      </c>
      <c r="C1234" s="5">
        <v>2</v>
      </c>
      <c r="D1234" s="5">
        <v>0</v>
      </c>
    </row>
    <row r="1235" spans="1:4">
      <c r="A1235" s="20">
        <v>1233</v>
      </c>
      <c r="B1235" s="34">
        <f t="shared" si="35"/>
        <v>12.45</v>
      </c>
      <c r="C1235" s="5">
        <v>2</v>
      </c>
      <c r="D1235" s="5">
        <v>0</v>
      </c>
    </row>
    <row r="1236" spans="1:4">
      <c r="A1236" s="20">
        <v>1234</v>
      </c>
      <c r="B1236" s="34">
        <f t="shared" si="35"/>
        <v>12.433333333333334</v>
      </c>
      <c r="C1236" s="5">
        <v>2</v>
      </c>
      <c r="D1236" s="5">
        <v>0</v>
      </c>
    </row>
    <row r="1237" spans="1:4">
      <c r="A1237" s="20">
        <v>1235</v>
      </c>
      <c r="B1237" s="34">
        <f t="shared" si="35"/>
        <v>12.416666666666666</v>
      </c>
      <c r="C1237" s="5">
        <v>2</v>
      </c>
      <c r="D1237" s="5">
        <v>0</v>
      </c>
    </row>
    <row r="1238" spans="1:4">
      <c r="A1238" s="20">
        <v>1236</v>
      </c>
      <c r="B1238" s="34">
        <f t="shared" si="35"/>
        <v>12.4</v>
      </c>
      <c r="C1238" s="5">
        <v>2</v>
      </c>
      <c r="D1238" s="5">
        <v>0</v>
      </c>
    </row>
    <row r="1239" spans="1:4">
      <c r="A1239" s="20">
        <v>1237</v>
      </c>
      <c r="B1239" s="34">
        <f t="shared" si="35"/>
        <v>12.383333333333333</v>
      </c>
      <c r="C1239" s="5">
        <v>2</v>
      </c>
      <c r="D1239" s="5">
        <v>0</v>
      </c>
    </row>
    <row r="1240" spans="1:4">
      <c r="A1240" s="20">
        <v>1238</v>
      </c>
      <c r="B1240" s="34">
        <f t="shared" si="35"/>
        <v>12.366666666666667</v>
      </c>
      <c r="C1240" s="5">
        <v>2</v>
      </c>
      <c r="D1240" s="5">
        <v>0</v>
      </c>
    </row>
    <row r="1241" spans="1:4">
      <c r="A1241" s="20">
        <v>1239</v>
      </c>
      <c r="B1241" s="34">
        <f t="shared" si="35"/>
        <v>12.35</v>
      </c>
      <c r="C1241" s="5">
        <v>2</v>
      </c>
      <c r="D1241" s="5">
        <v>0</v>
      </c>
    </row>
    <row r="1242" spans="1:4">
      <c r="A1242" s="20">
        <v>1240</v>
      </c>
      <c r="B1242" s="34">
        <f t="shared" si="35"/>
        <v>12.333333333333334</v>
      </c>
      <c r="C1242" s="5">
        <v>2</v>
      </c>
      <c r="D1242" s="5">
        <v>0</v>
      </c>
    </row>
    <row r="1243" spans="1:4">
      <c r="A1243" s="20">
        <v>1241</v>
      </c>
      <c r="B1243" s="34">
        <f t="shared" si="35"/>
        <v>12.316666666666666</v>
      </c>
      <c r="C1243" s="5">
        <v>2</v>
      </c>
      <c r="D1243" s="5">
        <v>0</v>
      </c>
    </row>
    <row r="1244" spans="1:4">
      <c r="A1244" s="20">
        <v>1242</v>
      </c>
      <c r="B1244" s="34">
        <f t="shared" si="35"/>
        <v>12.3</v>
      </c>
      <c r="C1244" s="5">
        <v>2</v>
      </c>
      <c r="D1244" s="5">
        <v>0</v>
      </c>
    </row>
    <row r="1245" spans="1:4">
      <c r="A1245" s="20">
        <v>1243</v>
      </c>
      <c r="B1245" s="34">
        <f t="shared" si="35"/>
        <v>12.283333333333333</v>
      </c>
      <c r="C1245" s="5">
        <v>2</v>
      </c>
      <c r="D1245" s="5">
        <v>0</v>
      </c>
    </row>
    <row r="1246" spans="1:4">
      <c r="A1246" s="20">
        <v>1244</v>
      </c>
      <c r="B1246" s="34">
        <f t="shared" si="35"/>
        <v>12.266666666666667</v>
      </c>
      <c r="C1246" s="5">
        <v>2</v>
      </c>
      <c r="D1246" s="5">
        <v>0</v>
      </c>
    </row>
    <row r="1247" spans="1:4">
      <c r="A1247" s="20">
        <v>1245</v>
      </c>
      <c r="B1247" s="34">
        <f t="shared" si="35"/>
        <v>12.25</v>
      </c>
      <c r="C1247" s="5">
        <v>2</v>
      </c>
      <c r="D1247" s="5">
        <v>0</v>
      </c>
    </row>
    <row r="1248" spans="1:4">
      <c r="A1248" s="20">
        <v>1246</v>
      </c>
      <c r="B1248" s="34">
        <f t="shared" si="35"/>
        <v>12.233333333333333</v>
      </c>
      <c r="C1248" s="5">
        <v>2</v>
      </c>
      <c r="D1248" s="5">
        <v>0</v>
      </c>
    </row>
    <row r="1249" spans="1:4">
      <c r="A1249" s="20">
        <v>1247</v>
      </c>
      <c r="B1249" s="34">
        <f t="shared" si="35"/>
        <v>12.216666666666667</v>
      </c>
      <c r="C1249" s="5">
        <v>2</v>
      </c>
      <c r="D1249" s="5">
        <v>0</v>
      </c>
    </row>
    <row r="1250" spans="1:4">
      <c r="A1250" s="20">
        <v>1248</v>
      </c>
      <c r="B1250" s="34">
        <f t="shared" si="35"/>
        <v>12.2</v>
      </c>
      <c r="C1250" s="5">
        <v>2</v>
      </c>
      <c r="D1250" s="5">
        <v>0</v>
      </c>
    </row>
    <row r="1251" spans="1:4">
      <c r="A1251" s="20">
        <v>1249</v>
      </c>
      <c r="B1251" s="34">
        <f t="shared" si="35"/>
        <v>12.183333333333334</v>
      </c>
      <c r="C1251" s="5">
        <v>2</v>
      </c>
      <c r="D1251" s="5">
        <v>0</v>
      </c>
    </row>
    <row r="1252" spans="1:4">
      <c r="A1252" s="20">
        <v>1250</v>
      </c>
      <c r="B1252" s="34">
        <f t="shared" si="35"/>
        <v>12.166666666666666</v>
      </c>
      <c r="C1252" s="5">
        <v>2</v>
      </c>
      <c r="D1252" s="5">
        <v>0</v>
      </c>
    </row>
    <row r="1253" spans="1:4">
      <c r="A1253" s="20">
        <v>1251</v>
      </c>
      <c r="B1253" s="34">
        <f t="shared" si="35"/>
        <v>12.15</v>
      </c>
      <c r="C1253" s="5">
        <v>2</v>
      </c>
      <c r="D1253" s="5">
        <v>0</v>
      </c>
    </row>
    <row r="1254" spans="1:4">
      <c r="A1254" s="20">
        <v>1252</v>
      </c>
      <c r="B1254" s="34">
        <f t="shared" si="35"/>
        <v>12.133333333333333</v>
      </c>
      <c r="C1254" s="5">
        <v>2</v>
      </c>
      <c r="D1254" s="5">
        <v>0</v>
      </c>
    </row>
    <row r="1255" spans="1:4">
      <c r="A1255" s="20">
        <v>1253</v>
      </c>
      <c r="B1255" s="34">
        <f t="shared" si="35"/>
        <v>12.116666666666667</v>
      </c>
      <c r="C1255" s="5">
        <v>2</v>
      </c>
      <c r="D1255" s="5">
        <v>0</v>
      </c>
    </row>
    <row r="1256" spans="1:4">
      <c r="A1256" s="20">
        <v>1254</v>
      </c>
      <c r="B1256" s="34">
        <f t="shared" si="35"/>
        <v>12.1</v>
      </c>
      <c r="C1256" s="5">
        <v>2</v>
      </c>
      <c r="D1256" s="5">
        <v>0</v>
      </c>
    </row>
    <row r="1257" spans="1:4">
      <c r="A1257" s="20">
        <v>1255</v>
      </c>
      <c r="B1257" s="34">
        <f t="shared" si="35"/>
        <v>12.083333333333334</v>
      </c>
      <c r="C1257" s="5">
        <v>2</v>
      </c>
      <c r="D1257" s="5">
        <v>0</v>
      </c>
    </row>
    <row r="1258" spans="1:4">
      <c r="A1258" s="20">
        <v>1256</v>
      </c>
      <c r="B1258" s="34">
        <f t="shared" si="35"/>
        <v>12.066666666666666</v>
      </c>
      <c r="C1258" s="5">
        <v>2</v>
      </c>
      <c r="D1258" s="5">
        <v>0</v>
      </c>
    </row>
    <row r="1259" spans="1:4">
      <c r="A1259" s="20">
        <v>1257</v>
      </c>
      <c r="B1259" s="34">
        <f t="shared" si="35"/>
        <v>12.05</v>
      </c>
      <c r="C1259" s="5">
        <v>2</v>
      </c>
      <c r="D1259" s="5">
        <v>0</v>
      </c>
    </row>
    <row r="1260" spans="1:4">
      <c r="A1260" s="20">
        <v>1258</v>
      </c>
      <c r="B1260" s="34">
        <f t="shared" si="35"/>
        <v>12.033333333333333</v>
      </c>
      <c r="C1260" s="5">
        <v>2</v>
      </c>
      <c r="D1260" s="5">
        <v>0</v>
      </c>
    </row>
    <row r="1261" spans="1:4">
      <c r="A1261" s="20">
        <v>1259</v>
      </c>
      <c r="B1261" s="34">
        <f t="shared" si="35"/>
        <v>12.016666666666667</v>
      </c>
      <c r="C1261" s="5">
        <v>2</v>
      </c>
      <c r="D1261" s="5">
        <v>0</v>
      </c>
    </row>
    <row r="1262" spans="1:4">
      <c r="A1262" s="20">
        <v>1260</v>
      </c>
      <c r="B1262" s="35">
        <f t="shared" si="35"/>
        <v>12</v>
      </c>
      <c r="C1262" s="5">
        <v>2</v>
      </c>
      <c r="D1262" s="5">
        <v>0</v>
      </c>
    </row>
    <row r="1263" spans="1:4">
      <c r="A1263" s="20">
        <v>1261</v>
      </c>
      <c r="B1263" s="34">
        <f t="shared" si="35"/>
        <v>11.983333333333334</v>
      </c>
      <c r="C1263" s="5">
        <v>2</v>
      </c>
      <c r="D1263" s="5">
        <v>0</v>
      </c>
    </row>
    <row r="1264" spans="1:4">
      <c r="A1264" s="20">
        <v>1262</v>
      </c>
      <c r="B1264" s="34">
        <f t="shared" si="35"/>
        <v>11.966666666666667</v>
      </c>
      <c r="C1264" s="5">
        <v>2</v>
      </c>
      <c r="D1264" s="5">
        <v>0</v>
      </c>
    </row>
    <row r="1265" spans="1:4">
      <c r="A1265" s="20">
        <v>1263</v>
      </c>
      <c r="B1265" s="34">
        <f t="shared" si="35"/>
        <v>11.95</v>
      </c>
      <c r="C1265" s="5">
        <v>2</v>
      </c>
      <c r="D1265" s="5">
        <v>0</v>
      </c>
    </row>
    <row r="1266" spans="1:4">
      <c r="A1266" s="20">
        <v>1264</v>
      </c>
      <c r="B1266" s="34">
        <f t="shared" si="35"/>
        <v>11.933333333333334</v>
      </c>
      <c r="C1266" s="5">
        <v>2</v>
      </c>
      <c r="D1266" s="5">
        <v>0</v>
      </c>
    </row>
    <row r="1267" spans="1:4">
      <c r="A1267" s="20">
        <v>1265</v>
      </c>
      <c r="B1267" s="34">
        <f t="shared" si="35"/>
        <v>11.916666666666666</v>
      </c>
      <c r="C1267" s="5">
        <v>2</v>
      </c>
      <c r="D1267" s="5">
        <v>0</v>
      </c>
    </row>
    <row r="1268" spans="1:4">
      <c r="A1268" s="20">
        <v>1266</v>
      </c>
      <c r="B1268" s="34">
        <f t="shared" ref="B1268:B1331" si="36">(A1268-$A$1202)/-60+$B$1202</f>
        <v>11.9</v>
      </c>
      <c r="C1268" s="5">
        <v>2</v>
      </c>
      <c r="D1268" s="5">
        <v>0</v>
      </c>
    </row>
    <row r="1269" spans="1:4">
      <c r="A1269" s="20">
        <v>1267</v>
      </c>
      <c r="B1269" s="34">
        <f t="shared" si="36"/>
        <v>11.883333333333333</v>
      </c>
      <c r="C1269" s="5">
        <v>2</v>
      </c>
      <c r="D1269" s="5">
        <v>0</v>
      </c>
    </row>
    <row r="1270" spans="1:4">
      <c r="A1270" s="20">
        <v>1268</v>
      </c>
      <c r="B1270" s="34">
        <f t="shared" si="36"/>
        <v>11.866666666666667</v>
      </c>
      <c r="C1270" s="5">
        <v>2</v>
      </c>
      <c r="D1270" s="5">
        <v>0</v>
      </c>
    </row>
    <row r="1271" spans="1:4">
      <c r="A1271" s="20">
        <v>1269</v>
      </c>
      <c r="B1271" s="34">
        <f t="shared" si="36"/>
        <v>11.85</v>
      </c>
      <c r="C1271" s="5">
        <v>2</v>
      </c>
      <c r="D1271" s="5">
        <v>0</v>
      </c>
    </row>
    <row r="1272" spans="1:4">
      <c r="A1272" s="20">
        <v>1270</v>
      </c>
      <c r="B1272" s="34">
        <f t="shared" si="36"/>
        <v>11.833333333333334</v>
      </c>
      <c r="C1272" s="5">
        <v>2</v>
      </c>
      <c r="D1272" s="5">
        <v>0</v>
      </c>
    </row>
    <row r="1273" spans="1:4">
      <c r="A1273" s="20">
        <v>1271</v>
      </c>
      <c r="B1273" s="34">
        <f t="shared" si="36"/>
        <v>11.816666666666666</v>
      </c>
      <c r="C1273" s="5">
        <v>2</v>
      </c>
      <c r="D1273" s="5">
        <v>0</v>
      </c>
    </row>
    <row r="1274" spans="1:4">
      <c r="A1274" s="20">
        <v>1272</v>
      </c>
      <c r="B1274" s="34">
        <f t="shared" si="36"/>
        <v>11.8</v>
      </c>
      <c r="C1274" s="5">
        <v>2</v>
      </c>
      <c r="D1274" s="5">
        <v>0</v>
      </c>
    </row>
    <row r="1275" spans="1:4">
      <c r="A1275" s="20">
        <v>1273</v>
      </c>
      <c r="B1275" s="34">
        <f t="shared" si="36"/>
        <v>11.783333333333333</v>
      </c>
      <c r="C1275" s="5">
        <v>2</v>
      </c>
      <c r="D1275" s="5">
        <v>0</v>
      </c>
    </row>
    <row r="1276" spans="1:4">
      <c r="A1276" s="20">
        <v>1274</v>
      </c>
      <c r="B1276" s="34">
        <f t="shared" si="36"/>
        <v>11.766666666666666</v>
      </c>
      <c r="C1276" s="5">
        <v>2</v>
      </c>
      <c r="D1276" s="5">
        <v>0</v>
      </c>
    </row>
    <row r="1277" spans="1:4">
      <c r="A1277" s="20">
        <v>1275</v>
      </c>
      <c r="B1277" s="34">
        <f t="shared" si="36"/>
        <v>11.75</v>
      </c>
      <c r="C1277" s="5">
        <v>2</v>
      </c>
      <c r="D1277" s="5">
        <v>0</v>
      </c>
    </row>
    <row r="1278" spans="1:4">
      <c r="A1278" s="20">
        <v>1276</v>
      </c>
      <c r="B1278" s="34">
        <f t="shared" si="36"/>
        <v>11.733333333333334</v>
      </c>
      <c r="C1278" s="5">
        <v>2</v>
      </c>
      <c r="D1278" s="5">
        <v>0</v>
      </c>
    </row>
    <row r="1279" spans="1:4">
      <c r="A1279" s="20">
        <v>1277</v>
      </c>
      <c r="B1279" s="34">
        <f t="shared" si="36"/>
        <v>11.716666666666667</v>
      </c>
      <c r="C1279" s="5">
        <v>2</v>
      </c>
      <c r="D1279" s="5">
        <v>0</v>
      </c>
    </row>
    <row r="1280" spans="1:4">
      <c r="A1280" s="20">
        <v>1278</v>
      </c>
      <c r="B1280" s="34">
        <f t="shared" si="36"/>
        <v>11.7</v>
      </c>
      <c r="C1280" s="5">
        <v>2</v>
      </c>
      <c r="D1280" s="5">
        <v>0</v>
      </c>
    </row>
    <row r="1281" spans="1:4">
      <c r="A1281" s="20">
        <v>1279</v>
      </c>
      <c r="B1281" s="34">
        <f t="shared" si="36"/>
        <v>11.683333333333334</v>
      </c>
      <c r="C1281" s="5">
        <v>2</v>
      </c>
      <c r="D1281" s="5">
        <v>0</v>
      </c>
    </row>
    <row r="1282" spans="1:4">
      <c r="A1282" s="20">
        <v>1280</v>
      </c>
      <c r="B1282" s="34">
        <f t="shared" si="36"/>
        <v>11.666666666666666</v>
      </c>
      <c r="C1282" s="5">
        <v>2</v>
      </c>
      <c r="D1282" s="5">
        <v>0</v>
      </c>
    </row>
    <row r="1283" spans="1:4">
      <c r="A1283" s="20">
        <v>1281</v>
      </c>
      <c r="B1283" s="34">
        <f t="shared" si="36"/>
        <v>11.65</v>
      </c>
      <c r="C1283" s="5">
        <v>2</v>
      </c>
      <c r="D1283" s="5">
        <v>0</v>
      </c>
    </row>
    <row r="1284" spans="1:4">
      <c r="A1284" s="20">
        <v>1282</v>
      </c>
      <c r="B1284" s="34">
        <f t="shared" si="36"/>
        <v>11.633333333333333</v>
      </c>
      <c r="C1284" s="5">
        <v>2</v>
      </c>
      <c r="D1284" s="5">
        <v>0</v>
      </c>
    </row>
    <row r="1285" spans="1:4">
      <c r="A1285" s="20">
        <v>1283</v>
      </c>
      <c r="B1285" s="34">
        <f t="shared" si="36"/>
        <v>11.616666666666667</v>
      </c>
      <c r="C1285" s="5">
        <v>2</v>
      </c>
      <c r="D1285" s="5">
        <v>0</v>
      </c>
    </row>
    <row r="1286" spans="1:4">
      <c r="A1286" s="20">
        <v>1284</v>
      </c>
      <c r="B1286" s="34">
        <f t="shared" si="36"/>
        <v>11.6</v>
      </c>
      <c r="C1286" s="5">
        <v>2</v>
      </c>
      <c r="D1286" s="5">
        <v>0</v>
      </c>
    </row>
    <row r="1287" spans="1:4">
      <c r="A1287" s="20">
        <v>1285</v>
      </c>
      <c r="B1287" s="34">
        <f t="shared" si="36"/>
        <v>11.583333333333334</v>
      </c>
      <c r="C1287" s="5">
        <v>2</v>
      </c>
      <c r="D1287" s="5">
        <v>0</v>
      </c>
    </row>
    <row r="1288" spans="1:4">
      <c r="A1288" s="20">
        <v>1286</v>
      </c>
      <c r="B1288" s="34">
        <f t="shared" si="36"/>
        <v>11.566666666666666</v>
      </c>
      <c r="C1288" s="5">
        <v>2</v>
      </c>
      <c r="D1288" s="5">
        <v>0</v>
      </c>
    </row>
    <row r="1289" spans="1:4">
      <c r="A1289" s="20">
        <v>1287</v>
      </c>
      <c r="B1289" s="34">
        <f t="shared" si="36"/>
        <v>11.55</v>
      </c>
      <c r="C1289" s="5">
        <v>2</v>
      </c>
      <c r="D1289" s="5">
        <v>0</v>
      </c>
    </row>
    <row r="1290" spans="1:4">
      <c r="A1290" s="20">
        <v>1288</v>
      </c>
      <c r="B1290" s="34">
        <f t="shared" si="36"/>
        <v>11.533333333333333</v>
      </c>
      <c r="C1290" s="5">
        <v>2</v>
      </c>
      <c r="D1290" s="5">
        <v>0</v>
      </c>
    </row>
    <row r="1291" spans="1:4">
      <c r="A1291" s="20">
        <v>1289</v>
      </c>
      <c r="B1291" s="34">
        <f t="shared" si="36"/>
        <v>11.516666666666666</v>
      </c>
      <c r="C1291" s="5">
        <v>2</v>
      </c>
      <c r="D1291" s="5">
        <v>0</v>
      </c>
    </row>
    <row r="1292" spans="1:4">
      <c r="A1292" s="20">
        <v>1290</v>
      </c>
      <c r="B1292" s="34">
        <f t="shared" si="36"/>
        <v>11.5</v>
      </c>
      <c r="C1292" s="5">
        <v>2</v>
      </c>
      <c r="D1292" s="5">
        <v>0</v>
      </c>
    </row>
    <row r="1293" spans="1:4">
      <c r="A1293" s="20">
        <v>1291</v>
      </c>
      <c r="B1293" s="34">
        <f t="shared" si="36"/>
        <v>11.483333333333334</v>
      </c>
      <c r="C1293" s="5">
        <v>2</v>
      </c>
      <c r="D1293" s="5">
        <v>0</v>
      </c>
    </row>
    <row r="1294" spans="1:4">
      <c r="A1294" s="20">
        <v>1292</v>
      </c>
      <c r="B1294" s="34">
        <f t="shared" si="36"/>
        <v>11.466666666666667</v>
      </c>
      <c r="C1294" s="5">
        <v>2</v>
      </c>
      <c r="D1294" s="5">
        <v>0</v>
      </c>
    </row>
    <row r="1295" spans="1:4">
      <c r="A1295" s="20">
        <v>1293</v>
      </c>
      <c r="B1295" s="34">
        <f t="shared" si="36"/>
        <v>11.45</v>
      </c>
      <c r="C1295" s="5">
        <v>2</v>
      </c>
      <c r="D1295" s="5">
        <v>0</v>
      </c>
    </row>
    <row r="1296" spans="1:4">
      <c r="A1296" s="20">
        <v>1294</v>
      </c>
      <c r="B1296" s="34">
        <f t="shared" si="36"/>
        <v>11.433333333333334</v>
      </c>
      <c r="C1296" s="5">
        <v>2</v>
      </c>
      <c r="D1296" s="5">
        <v>0</v>
      </c>
    </row>
    <row r="1297" spans="1:4">
      <c r="A1297" s="20">
        <v>1295</v>
      </c>
      <c r="B1297" s="34">
        <f t="shared" si="36"/>
        <v>11.416666666666666</v>
      </c>
      <c r="C1297" s="5">
        <v>2</v>
      </c>
      <c r="D1297" s="5">
        <v>0</v>
      </c>
    </row>
    <row r="1298" spans="1:4">
      <c r="A1298" s="20">
        <v>1296</v>
      </c>
      <c r="B1298" s="34">
        <f t="shared" si="36"/>
        <v>11.4</v>
      </c>
      <c r="C1298" s="5">
        <v>2</v>
      </c>
      <c r="D1298" s="5">
        <v>0</v>
      </c>
    </row>
    <row r="1299" spans="1:4">
      <c r="A1299" s="20">
        <v>1297</v>
      </c>
      <c r="B1299" s="34">
        <f t="shared" si="36"/>
        <v>11.383333333333333</v>
      </c>
      <c r="C1299" s="5">
        <v>2</v>
      </c>
      <c r="D1299" s="5">
        <v>0</v>
      </c>
    </row>
    <row r="1300" spans="1:4">
      <c r="A1300" s="20">
        <v>1298</v>
      </c>
      <c r="B1300" s="34">
        <f t="shared" si="36"/>
        <v>11.366666666666667</v>
      </c>
      <c r="C1300" s="5">
        <v>2</v>
      </c>
      <c r="D1300" s="5">
        <v>0</v>
      </c>
    </row>
    <row r="1301" spans="1:4">
      <c r="A1301" s="20">
        <v>1299</v>
      </c>
      <c r="B1301" s="34">
        <f t="shared" si="36"/>
        <v>11.35</v>
      </c>
      <c r="C1301" s="5">
        <v>2</v>
      </c>
      <c r="D1301" s="5">
        <v>0</v>
      </c>
    </row>
    <row r="1302" spans="1:4">
      <c r="A1302" s="20">
        <v>1300</v>
      </c>
      <c r="B1302" s="34">
        <f t="shared" si="36"/>
        <v>11.333333333333334</v>
      </c>
      <c r="C1302" s="5">
        <v>2</v>
      </c>
      <c r="D1302" s="5">
        <v>0</v>
      </c>
    </row>
    <row r="1303" spans="1:4">
      <c r="A1303" s="20">
        <v>1301</v>
      </c>
      <c r="B1303" s="34">
        <f t="shared" si="36"/>
        <v>11.316666666666666</v>
      </c>
      <c r="C1303" s="5">
        <v>2</v>
      </c>
      <c r="D1303" s="5">
        <v>0</v>
      </c>
    </row>
    <row r="1304" spans="1:4">
      <c r="A1304" s="20">
        <v>1302</v>
      </c>
      <c r="B1304" s="34">
        <f t="shared" si="36"/>
        <v>11.3</v>
      </c>
      <c r="C1304" s="5">
        <v>2</v>
      </c>
      <c r="D1304" s="5">
        <v>0</v>
      </c>
    </row>
    <row r="1305" spans="1:4">
      <c r="A1305" s="20">
        <v>1303</v>
      </c>
      <c r="B1305" s="34">
        <f t="shared" si="36"/>
        <v>11.283333333333333</v>
      </c>
      <c r="C1305" s="5">
        <v>2</v>
      </c>
      <c r="D1305" s="5">
        <v>0</v>
      </c>
    </row>
    <row r="1306" spans="1:4">
      <c r="A1306" s="20">
        <v>1304</v>
      </c>
      <c r="B1306" s="34">
        <f t="shared" si="36"/>
        <v>11.266666666666666</v>
      </c>
      <c r="C1306" s="5">
        <v>2</v>
      </c>
      <c r="D1306" s="5">
        <v>0</v>
      </c>
    </row>
    <row r="1307" spans="1:4">
      <c r="A1307" s="20">
        <v>1305</v>
      </c>
      <c r="B1307" s="34">
        <f t="shared" si="36"/>
        <v>11.25</v>
      </c>
      <c r="C1307" s="5">
        <v>2</v>
      </c>
      <c r="D1307" s="5">
        <v>0</v>
      </c>
    </row>
    <row r="1308" spans="1:4">
      <c r="A1308" s="20">
        <v>1306</v>
      </c>
      <c r="B1308" s="34">
        <f t="shared" si="36"/>
        <v>11.233333333333334</v>
      </c>
      <c r="C1308" s="5">
        <v>2</v>
      </c>
      <c r="D1308" s="5">
        <v>0</v>
      </c>
    </row>
    <row r="1309" spans="1:4">
      <c r="A1309" s="20">
        <v>1307</v>
      </c>
      <c r="B1309" s="34">
        <f t="shared" si="36"/>
        <v>11.216666666666667</v>
      </c>
      <c r="C1309" s="5">
        <v>2</v>
      </c>
      <c r="D1309" s="5">
        <v>0</v>
      </c>
    </row>
    <row r="1310" spans="1:4">
      <c r="A1310" s="20">
        <v>1308</v>
      </c>
      <c r="B1310" s="34">
        <f t="shared" si="36"/>
        <v>11.2</v>
      </c>
      <c r="C1310" s="5">
        <v>2</v>
      </c>
      <c r="D1310" s="5">
        <v>0</v>
      </c>
    </row>
    <row r="1311" spans="1:4">
      <c r="A1311" s="20">
        <v>1309</v>
      </c>
      <c r="B1311" s="34">
        <f t="shared" si="36"/>
        <v>11.183333333333334</v>
      </c>
      <c r="C1311" s="5">
        <v>2</v>
      </c>
      <c r="D1311" s="5">
        <v>0</v>
      </c>
    </row>
    <row r="1312" spans="1:4">
      <c r="A1312" s="20">
        <v>1310</v>
      </c>
      <c r="B1312" s="34">
        <f t="shared" si="36"/>
        <v>11.166666666666666</v>
      </c>
      <c r="C1312" s="5">
        <v>2</v>
      </c>
      <c r="D1312" s="5">
        <v>0</v>
      </c>
    </row>
    <row r="1313" spans="1:4">
      <c r="A1313" s="20">
        <v>1311</v>
      </c>
      <c r="B1313" s="34">
        <f t="shared" si="36"/>
        <v>11.15</v>
      </c>
      <c r="C1313" s="5">
        <v>2</v>
      </c>
      <c r="D1313" s="5">
        <v>0</v>
      </c>
    </row>
    <row r="1314" spans="1:4">
      <c r="A1314" s="20">
        <v>1312</v>
      </c>
      <c r="B1314" s="34">
        <f t="shared" si="36"/>
        <v>11.133333333333333</v>
      </c>
      <c r="C1314" s="5">
        <v>2</v>
      </c>
      <c r="D1314" s="5">
        <v>0</v>
      </c>
    </row>
    <row r="1315" spans="1:4">
      <c r="A1315" s="20">
        <v>1313</v>
      </c>
      <c r="B1315" s="34">
        <f t="shared" si="36"/>
        <v>11.116666666666667</v>
      </c>
      <c r="C1315" s="5">
        <v>2</v>
      </c>
      <c r="D1315" s="5">
        <v>0</v>
      </c>
    </row>
    <row r="1316" spans="1:4">
      <c r="A1316" s="20">
        <v>1314</v>
      </c>
      <c r="B1316" s="34">
        <f t="shared" si="36"/>
        <v>11.1</v>
      </c>
      <c r="C1316" s="5">
        <v>2</v>
      </c>
      <c r="D1316" s="5">
        <v>0</v>
      </c>
    </row>
    <row r="1317" spans="1:4">
      <c r="A1317" s="20">
        <v>1315</v>
      </c>
      <c r="B1317" s="34">
        <f t="shared" si="36"/>
        <v>11.083333333333334</v>
      </c>
      <c r="C1317" s="5">
        <v>2</v>
      </c>
      <c r="D1317" s="5">
        <v>0</v>
      </c>
    </row>
    <row r="1318" spans="1:4">
      <c r="A1318" s="20">
        <v>1316</v>
      </c>
      <c r="B1318" s="34">
        <f t="shared" si="36"/>
        <v>11.066666666666666</v>
      </c>
      <c r="C1318" s="5">
        <v>2</v>
      </c>
      <c r="D1318" s="5">
        <v>0</v>
      </c>
    </row>
    <row r="1319" spans="1:4">
      <c r="A1319" s="20">
        <v>1317</v>
      </c>
      <c r="B1319" s="34">
        <f t="shared" si="36"/>
        <v>11.05</v>
      </c>
      <c r="C1319" s="5">
        <v>2</v>
      </c>
      <c r="D1319" s="5">
        <v>0</v>
      </c>
    </row>
    <row r="1320" spans="1:4">
      <c r="A1320" s="20">
        <v>1318</v>
      </c>
      <c r="B1320" s="34">
        <f t="shared" si="36"/>
        <v>11.033333333333333</v>
      </c>
      <c r="C1320" s="5">
        <v>2</v>
      </c>
      <c r="D1320" s="5">
        <v>0</v>
      </c>
    </row>
    <row r="1321" spans="1:4">
      <c r="A1321" s="20">
        <v>1319</v>
      </c>
      <c r="B1321" s="34">
        <f t="shared" si="36"/>
        <v>11.016666666666666</v>
      </c>
      <c r="C1321" s="5">
        <v>2</v>
      </c>
      <c r="D1321" s="5">
        <v>0</v>
      </c>
    </row>
    <row r="1322" spans="1:4">
      <c r="A1322" s="20">
        <v>1320</v>
      </c>
      <c r="B1322" s="35">
        <v>11</v>
      </c>
      <c r="C1322" s="5">
        <v>2</v>
      </c>
      <c r="D1322" s="5">
        <v>0</v>
      </c>
    </row>
    <row r="1323" spans="1:4">
      <c r="A1323" s="20">
        <v>1321</v>
      </c>
      <c r="B1323" s="35">
        <v>11</v>
      </c>
      <c r="C1323" s="5">
        <v>2</v>
      </c>
      <c r="D1323" s="5">
        <v>0</v>
      </c>
    </row>
    <row r="1324" spans="1:4">
      <c r="A1324" s="20">
        <v>1322</v>
      </c>
      <c r="B1324" s="35">
        <v>11</v>
      </c>
      <c r="C1324" s="5">
        <v>2</v>
      </c>
      <c r="D1324" s="5">
        <v>0</v>
      </c>
    </row>
    <row r="1325" spans="1:4">
      <c r="A1325" s="20">
        <v>1323</v>
      </c>
      <c r="B1325" s="35">
        <v>11</v>
      </c>
      <c r="C1325" s="5">
        <v>2</v>
      </c>
      <c r="D1325" s="5">
        <v>0</v>
      </c>
    </row>
    <row r="1326" spans="1:4">
      <c r="A1326" s="20">
        <v>1324</v>
      </c>
      <c r="B1326" s="35">
        <v>11</v>
      </c>
      <c r="C1326" s="5">
        <v>2</v>
      </c>
      <c r="D1326" s="5">
        <v>0</v>
      </c>
    </row>
    <row r="1327" spans="1:4">
      <c r="A1327" s="20">
        <v>1325</v>
      </c>
      <c r="B1327" s="35">
        <v>11</v>
      </c>
      <c r="C1327" s="5">
        <v>2</v>
      </c>
      <c r="D1327" s="5">
        <v>0</v>
      </c>
    </row>
    <row r="1328" spans="1:4">
      <c r="A1328" s="20">
        <v>1326</v>
      </c>
      <c r="B1328" s="35">
        <v>11</v>
      </c>
      <c r="C1328" s="5">
        <v>2</v>
      </c>
      <c r="D1328" s="5">
        <v>0</v>
      </c>
    </row>
    <row r="1329" spans="1:4">
      <c r="A1329" s="20">
        <v>1327</v>
      </c>
      <c r="B1329" s="35">
        <v>11</v>
      </c>
      <c r="C1329" s="5">
        <v>2</v>
      </c>
      <c r="D1329" s="5">
        <v>0</v>
      </c>
    </row>
    <row r="1330" spans="1:4">
      <c r="A1330" s="20">
        <v>1328</v>
      </c>
      <c r="B1330" s="35">
        <v>11</v>
      </c>
      <c r="C1330" s="5">
        <v>2</v>
      </c>
      <c r="D1330" s="5">
        <v>0</v>
      </c>
    </row>
    <row r="1331" spans="1:4">
      <c r="A1331" s="20">
        <v>1329</v>
      </c>
      <c r="B1331" s="35">
        <v>11</v>
      </c>
      <c r="C1331" s="5">
        <v>2</v>
      </c>
      <c r="D1331" s="5">
        <v>0</v>
      </c>
    </row>
    <row r="1332" spans="1:4">
      <c r="A1332" s="20">
        <v>1330</v>
      </c>
      <c r="B1332" s="35">
        <v>11</v>
      </c>
      <c r="C1332" s="5">
        <v>2</v>
      </c>
      <c r="D1332" s="5">
        <v>0</v>
      </c>
    </row>
    <row r="1333" spans="1:4">
      <c r="A1333" s="20">
        <v>1331</v>
      </c>
      <c r="B1333" s="35">
        <v>11</v>
      </c>
      <c r="C1333" s="5">
        <v>2</v>
      </c>
      <c r="D1333" s="5">
        <v>0</v>
      </c>
    </row>
    <row r="1334" spans="1:4">
      <c r="A1334" s="20">
        <v>1332</v>
      </c>
      <c r="B1334" s="35">
        <v>11</v>
      </c>
      <c r="C1334" s="5">
        <v>2</v>
      </c>
      <c r="D1334" s="5">
        <v>0</v>
      </c>
    </row>
    <row r="1335" spans="1:4">
      <c r="A1335" s="20">
        <v>1333</v>
      </c>
      <c r="B1335" s="35">
        <v>11</v>
      </c>
      <c r="C1335" s="5">
        <v>2</v>
      </c>
      <c r="D1335" s="5">
        <v>0</v>
      </c>
    </row>
    <row r="1336" spans="1:4">
      <c r="A1336" s="20">
        <v>1334</v>
      </c>
      <c r="B1336" s="35">
        <v>11</v>
      </c>
      <c r="C1336" s="5">
        <v>2</v>
      </c>
      <c r="D1336" s="5">
        <v>0</v>
      </c>
    </row>
    <row r="1337" spans="1:4">
      <c r="A1337" s="20">
        <v>1335</v>
      </c>
      <c r="B1337" s="35">
        <v>11</v>
      </c>
      <c r="C1337" s="5">
        <v>2</v>
      </c>
      <c r="D1337" s="5">
        <v>0</v>
      </c>
    </row>
    <row r="1338" spans="1:4">
      <c r="A1338" s="20">
        <v>1336</v>
      </c>
      <c r="B1338" s="35">
        <v>11</v>
      </c>
      <c r="C1338" s="5">
        <v>2</v>
      </c>
      <c r="D1338" s="5">
        <v>0</v>
      </c>
    </row>
    <row r="1339" spans="1:4">
      <c r="A1339" s="20">
        <v>1337</v>
      </c>
      <c r="B1339" s="35">
        <v>11</v>
      </c>
      <c r="C1339" s="5">
        <v>2</v>
      </c>
      <c r="D1339" s="5">
        <v>0</v>
      </c>
    </row>
    <row r="1340" spans="1:4">
      <c r="A1340" s="20">
        <v>1338</v>
      </c>
      <c r="B1340" s="35">
        <v>11</v>
      </c>
      <c r="C1340" s="5">
        <v>2</v>
      </c>
      <c r="D1340" s="5">
        <v>0</v>
      </c>
    </row>
    <row r="1341" spans="1:4">
      <c r="A1341" s="20">
        <v>1339</v>
      </c>
      <c r="B1341" s="35">
        <v>11</v>
      </c>
      <c r="C1341" s="5">
        <v>2</v>
      </c>
      <c r="D1341" s="5">
        <v>0</v>
      </c>
    </row>
    <row r="1342" spans="1:4">
      <c r="A1342" s="20">
        <v>1340</v>
      </c>
      <c r="B1342" s="35">
        <v>11</v>
      </c>
      <c r="C1342" s="5">
        <v>2</v>
      </c>
      <c r="D1342" s="5">
        <v>0</v>
      </c>
    </row>
    <row r="1343" spans="1:4">
      <c r="A1343" s="20">
        <v>1341</v>
      </c>
      <c r="B1343" s="35">
        <v>11</v>
      </c>
      <c r="C1343" s="5">
        <v>2</v>
      </c>
      <c r="D1343" s="5">
        <v>0</v>
      </c>
    </row>
    <row r="1344" spans="1:4">
      <c r="A1344" s="20">
        <v>1342</v>
      </c>
      <c r="B1344" s="35">
        <v>11</v>
      </c>
      <c r="C1344" s="5">
        <v>2</v>
      </c>
      <c r="D1344" s="5">
        <v>0</v>
      </c>
    </row>
    <row r="1345" spans="1:4">
      <c r="A1345" s="20">
        <v>1343</v>
      </c>
      <c r="B1345" s="35">
        <v>11</v>
      </c>
      <c r="C1345" s="5">
        <v>2</v>
      </c>
      <c r="D1345" s="5">
        <v>0</v>
      </c>
    </row>
    <row r="1346" spans="1:4">
      <c r="A1346" s="20">
        <v>1344</v>
      </c>
      <c r="B1346" s="35">
        <v>11</v>
      </c>
      <c r="C1346" s="5">
        <v>2</v>
      </c>
      <c r="D1346" s="5">
        <v>0</v>
      </c>
    </row>
    <row r="1347" spans="1:4">
      <c r="A1347" s="20">
        <v>1345</v>
      </c>
      <c r="B1347" s="35">
        <v>11</v>
      </c>
      <c r="C1347" s="5">
        <v>2</v>
      </c>
      <c r="D1347" s="5">
        <v>0</v>
      </c>
    </row>
    <row r="1348" spans="1:4">
      <c r="A1348" s="20">
        <v>1346</v>
      </c>
      <c r="B1348" s="35">
        <v>11</v>
      </c>
      <c r="C1348" s="5">
        <v>2</v>
      </c>
      <c r="D1348" s="5">
        <v>0</v>
      </c>
    </row>
    <row r="1349" spans="1:4">
      <c r="A1349" s="20">
        <v>1347</v>
      </c>
      <c r="B1349" s="35">
        <v>11</v>
      </c>
      <c r="C1349" s="5">
        <v>2</v>
      </c>
      <c r="D1349" s="5">
        <v>0</v>
      </c>
    </row>
    <row r="1350" spans="1:4">
      <c r="A1350" s="20">
        <v>1348</v>
      </c>
      <c r="B1350" s="35">
        <v>11</v>
      </c>
      <c r="C1350" s="5">
        <v>2</v>
      </c>
      <c r="D1350" s="5">
        <v>0</v>
      </c>
    </row>
    <row r="1351" spans="1:4">
      <c r="A1351" s="20">
        <v>1349</v>
      </c>
      <c r="B1351" s="35">
        <v>11</v>
      </c>
      <c r="C1351" s="5">
        <v>2</v>
      </c>
      <c r="D1351" s="5">
        <v>0</v>
      </c>
    </row>
    <row r="1352" spans="1:4">
      <c r="A1352" s="20">
        <v>1350</v>
      </c>
      <c r="B1352" s="35">
        <v>11</v>
      </c>
      <c r="C1352" s="5">
        <v>2</v>
      </c>
      <c r="D1352" s="5">
        <v>0</v>
      </c>
    </row>
    <row r="1353" spans="1:4">
      <c r="A1353" s="20">
        <v>1351</v>
      </c>
      <c r="B1353" s="35">
        <v>11</v>
      </c>
      <c r="C1353" s="5">
        <v>2</v>
      </c>
      <c r="D1353" s="5">
        <v>0</v>
      </c>
    </row>
    <row r="1354" spans="1:4">
      <c r="A1354" s="20">
        <v>1352</v>
      </c>
      <c r="B1354" s="35">
        <v>11</v>
      </c>
      <c r="C1354" s="5">
        <v>2</v>
      </c>
      <c r="D1354" s="5">
        <v>0</v>
      </c>
    </row>
    <row r="1355" spans="1:4">
      <c r="A1355" s="20">
        <v>1353</v>
      </c>
      <c r="B1355" s="35">
        <v>11</v>
      </c>
      <c r="C1355" s="5">
        <v>2</v>
      </c>
      <c r="D1355" s="5">
        <v>0</v>
      </c>
    </row>
    <row r="1356" spans="1:4">
      <c r="A1356" s="20">
        <v>1354</v>
      </c>
      <c r="B1356" s="35">
        <v>11</v>
      </c>
      <c r="C1356" s="5">
        <v>2</v>
      </c>
      <c r="D1356" s="5">
        <v>0</v>
      </c>
    </row>
    <row r="1357" spans="1:4">
      <c r="A1357" s="20">
        <v>1355</v>
      </c>
      <c r="B1357" s="35">
        <v>11</v>
      </c>
      <c r="C1357" s="5">
        <v>2</v>
      </c>
      <c r="D1357" s="5">
        <v>0</v>
      </c>
    </row>
    <row r="1358" spans="1:4">
      <c r="A1358" s="20">
        <v>1356</v>
      </c>
      <c r="B1358" s="35">
        <v>11</v>
      </c>
      <c r="C1358" s="5">
        <v>2</v>
      </c>
      <c r="D1358" s="5">
        <v>0</v>
      </c>
    </row>
    <row r="1359" spans="1:4">
      <c r="A1359" s="20">
        <v>1357</v>
      </c>
      <c r="B1359" s="35">
        <v>11</v>
      </c>
      <c r="C1359" s="5">
        <v>2</v>
      </c>
      <c r="D1359" s="5">
        <v>0</v>
      </c>
    </row>
    <row r="1360" spans="1:4">
      <c r="A1360" s="20">
        <v>1358</v>
      </c>
      <c r="B1360" s="35">
        <v>11</v>
      </c>
      <c r="C1360" s="5">
        <v>2</v>
      </c>
      <c r="D1360" s="5">
        <v>0</v>
      </c>
    </row>
    <row r="1361" spans="1:4">
      <c r="A1361" s="20">
        <v>1359</v>
      </c>
      <c r="B1361" s="35">
        <v>11</v>
      </c>
      <c r="C1361" s="5">
        <v>2</v>
      </c>
      <c r="D1361" s="5">
        <v>0</v>
      </c>
    </row>
    <row r="1362" spans="1:4">
      <c r="A1362" s="20">
        <v>1360</v>
      </c>
      <c r="B1362" s="35">
        <v>11</v>
      </c>
      <c r="C1362" s="5">
        <v>2</v>
      </c>
      <c r="D1362" s="5">
        <v>0</v>
      </c>
    </row>
    <row r="1363" spans="1:4">
      <c r="A1363" s="20">
        <v>1361</v>
      </c>
      <c r="B1363" s="35">
        <v>11</v>
      </c>
      <c r="C1363" s="5">
        <v>2</v>
      </c>
      <c r="D1363" s="5">
        <v>0</v>
      </c>
    </row>
    <row r="1364" spans="1:4">
      <c r="A1364" s="20">
        <v>1362</v>
      </c>
      <c r="B1364" s="35">
        <v>11</v>
      </c>
      <c r="C1364" s="5">
        <v>2</v>
      </c>
      <c r="D1364" s="5">
        <v>0</v>
      </c>
    </row>
    <row r="1365" spans="1:4">
      <c r="A1365" s="20">
        <v>1363</v>
      </c>
      <c r="B1365" s="35">
        <v>11</v>
      </c>
      <c r="C1365" s="5">
        <v>2</v>
      </c>
      <c r="D1365" s="5">
        <v>0</v>
      </c>
    </row>
    <row r="1366" spans="1:4">
      <c r="A1366" s="20">
        <v>1364</v>
      </c>
      <c r="B1366" s="35">
        <v>11</v>
      </c>
      <c r="C1366" s="5">
        <v>2</v>
      </c>
      <c r="D1366" s="5">
        <v>0</v>
      </c>
    </row>
    <row r="1367" spans="1:4">
      <c r="A1367" s="20">
        <v>1365</v>
      </c>
      <c r="B1367" s="35">
        <v>11</v>
      </c>
      <c r="C1367" s="5">
        <v>2</v>
      </c>
      <c r="D1367" s="5">
        <v>0</v>
      </c>
    </row>
    <row r="1368" spans="1:4">
      <c r="A1368" s="20">
        <v>1366</v>
      </c>
      <c r="B1368" s="35">
        <v>11</v>
      </c>
      <c r="C1368" s="5">
        <v>2</v>
      </c>
      <c r="D1368" s="5">
        <v>0</v>
      </c>
    </row>
    <row r="1369" spans="1:4">
      <c r="A1369" s="20">
        <v>1367</v>
      </c>
      <c r="B1369" s="35">
        <v>11</v>
      </c>
      <c r="C1369" s="5">
        <v>2</v>
      </c>
      <c r="D1369" s="5">
        <v>0</v>
      </c>
    </row>
    <row r="1370" spans="1:4">
      <c r="A1370" s="20">
        <v>1368</v>
      </c>
      <c r="B1370" s="35">
        <v>11</v>
      </c>
      <c r="C1370" s="5">
        <v>2</v>
      </c>
      <c r="D1370" s="5">
        <v>0</v>
      </c>
    </row>
    <row r="1371" spans="1:4">
      <c r="A1371" s="20">
        <v>1369</v>
      </c>
      <c r="B1371" s="35">
        <v>11</v>
      </c>
      <c r="C1371" s="5">
        <v>2</v>
      </c>
      <c r="D1371" s="5">
        <v>0</v>
      </c>
    </row>
    <row r="1372" spans="1:4">
      <c r="A1372" s="20">
        <v>1370</v>
      </c>
      <c r="B1372" s="35">
        <v>11</v>
      </c>
      <c r="C1372" s="5">
        <v>2</v>
      </c>
      <c r="D1372" s="5">
        <v>0</v>
      </c>
    </row>
    <row r="1373" spans="1:4">
      <c r="A1373" s="20">
        <v>1371</v>
      </c>
      <c r="B1373" s="35">
        <v>11</v>
      </c>
      <c r="C1373" s="5">
        <v>2</v>
      </c>
      <c r="D1373" s="5">
        <v>0</v>
      </c>
    </row>
    <row r="1374" spans="1:4">
      <c r="A1374" s="20">
        <v>1372</v>
      </c>
      <c r="B1374" s="35">
        <v>11</v>
      </c>
      <c r="C1374" s="5">
        <v>2</v>
      </c>
      <c r="D1374" s="5">
        <v>0</v>
      </c>
    </row>
    <row r="1375" spans="1:4">
      <c r="A1375" s="20">
        <v>1373</v>
      </c>
      <c r="B1375" s="35">
        <v>11</v>
      </c>
      <c r="C1375" s="5">
        <v>2</v>
      </c>
      <c r="D1375" s="5">
        <v>0</v>
      </c>
    </row>
    <row r="1376" spans="1:4">
      <c r="A1376" s="20">
        <v>1374</v>
      </c>
      <c r="B1376" s="35">
        <v>11</v>
      </c>
      <c r="C1376" s="5">
        <v>2</v>
      </c>
      <c r="D1376" s="5">
        <v>0</v>
      </c>
    </row>
    <row r="1377" spans="1:4">
      <c r="A1377" s="20">
        <v>1375</v>
      </c>
      <c r="B1377" s="35">
        <v>11</v>
      </c>
      <c r="C1377" s="5">
        <v>2</v>
      </c>
      <c r="D1377" s="5">
        <v>0</v>
      </c>
    </row>
    <row r="1378" spans="1:4">
      <c r="A1378" s="20">
        <v>1376</v>
      </c>
      <c r="B1378" s="35">
        <v>11</v>
      </c>
      <c r="C1378" s="5">
        <v>2</v>
      </c>
      <c r="D1378" s="5">
        <v>0</v>
      </c>
    </row>
    <row r="1379" spans="1:4">
      <c r="A1379" s="20">
        <v>1377</v>
      </c>
      <c r="B1379" s="35">
        <v>11</v>
      </c>
      <c r="C1379" s="5">
        <v>2</v>
      </c>
      <c r="D1379" s="5">
        <v>0</v>
      </c>
    </row>
    <row r="1380" spans="1:4">
      <c r="A1380" s="20">
        <v>1378</v>
      </c>
      <c r="B1380" s="35">
        <v>11</v>
      </c>
      <c r="C1380" s="5">
        <v>2</v>
      </c>
      <c r="D1380" s="5">
        <v>0</v>
      </c>
    </row>
    <row r="1381" spans="1:4">
      <c r="A1381" s="20">
        <v>1379</v>
      </c>
      <c r="B1381" s="35">
        <v>11</v>
      </c>
      <c r="C1381" s="5">
        <v>2</v>
      </c>
      <c r="D1381" s="5">
        <v>0</v>
      </c>
    </row>
    <row r="1382" spans="1:4">
      <c r="A1382" s="20">
        <v>1380</v>
      </c>
      <c r="B1382" s="35">
        <v>11</v>
      </c>
      <c r="C1382" s="5">
        <v>2</v>
      </c>
      <c r="D1382" s="5">
        <v>0</v>
      </c>
    </row>
    <row r="1383" spans="1:4">
      <c r="A1383" s="20">
        <v>1381</v>
      </c>
      <c r="B1383" s="35">
        <v>11</v>
      </c>
      <c r="C1383" s="5">
        <v>2</v>
      </c>
      <c r="D1383" s="5">
        <v>0</v>
      </c>
    </row>
    <row r="1384" spans="1:4">
      <c r="A1384" s="20">
        <v>1382</v>
      </c>
      <c r="B1384" s="35">
        <v>11</v>
      </c>
      <c r="C1384" s="5">
        <v>2</v>
      </c>
      <c r="D1384" s="5">
        <v>0</v>
      </c>
    </row>
    <row r="1385" spans="1:4">
      <c r="A1385" s="20">
        <v>1383</v>
      </c>
      <c r="B1385" s="35">
        <v>11</v>
      </c>
      <c r="C1385" s="5">
        <v>2</v>
      </c>
      <c r="D1385" s="5">
        <v>0</v>
      </c>
    </row>
    <row r="1386" spans="1:4">
      <c r="A1386" s="20">
        <v>1384</v>
      </c>
      <c r="B1386" s="35">
        <v>11</v>
      </c>
      <c r="C1386" s="5">
        <v>2</v>
      </c>
      <c r="D1386" s="5">
        <v>0</v>
      </c>
    </row>
    <row r="1387" spans="1:4">
      <c r="A1387" s="20">
        <v>1385</v>
      </c>
      <c r="B1387" s="35">
        <v>11</v>
      </c>
      <c r="C1387" s="5">
        <v>2</v>
      </c>
      <c r="D1387" s="5">
        <v>0</v>
      </c>
    </row>
    <row r="1388" spans="1:4">
      <c r="A1388" s="20">
        <v>1386</v>
      </c>
      <c r="B1388" s="35">
        <v>11</v>
      </c>
      <c r="C1388" s="5">
        <v>2</v>
      </c>
      <c r="D1388" s="5">
        <v>0</v>
      </c>
    </row>
    <row r="1389" spans="1:4">
      <c r="A1389" s="20">
        <v>1387</v>
      </c>
      <c r="B1389" s="35">
        <v>11</v>
      </c>
      <c r="C1389" s="5">
        <v>2</v>
      </c>
      <c r="D1389" s="5">
        <v>0</v>
      </c>
    </row>
    <row r="1390" spans="1:4">
      <c r="A1390" s="20">
        <v>1388</v>
      </c>
      <c r="B1390" s="35">
        <v>11</v>
      </c>
      <c r="C1390" s="5">
        <v>2</v>
      </c>
      <c r="D1390" s="5">
        <v>0</v>
      </c>
    </row>
    <row r="1391" spans="1:4">
      <c r="A1391" s="20">
        <v>1389</v>
      </c>
      <c r="B1391" s="35">
        <v>11</v>
      </c>
      <c r="C1391" s="5">
        <v>2</v>
      </c>
      <c r="D1391" s="5">
        <v>0</v>
      </c>
    </row>
    <row r="1392" spans="1:4">
      <c r="A1392" s="20">
        <v>1390</v>
      </c>
      <c r="B1392" s="35">
        <v>11</v>
      </c>
      <c r="C1392" s="5">
        <v>2</v>
      </c>
      <c r="D1392" s="5">
        <v>0</v>
      </c>
    </row>
    <row r="1393" spans="1:4">
      <c r="A1393" s="20">
        <v>1391</v>
      </c>
      <c r="B1393" s="35">
        <v>11</v>
      </c>
      <c r="C1393" s="5">
        <v>2</v>
      </c>
      <c r="D1393" s="5">
        <v>0</v>
      </c>
    </row>
    <row r="1394" spans="1:4">
      <c r="A1394" s="20">
        <v>1392</v>
      </c>
      <c r="B1394" s="35">
        <v>11</v>
      </c>
      <c r="C1394" s="5">
        <v>2</v>
      </c>
      <c r="D1394" s="5">
        <v>0</v>
      </c>
    </row>
    <row r="1395" spans="1:4">
      <c r="A1395" s="20">
        <v>1393</v>
      </c>
      <c r="B1395" s="35">
        <v>11</v>
      </c>
      <c r="C1395" s="5">
        <v>2</v>
      </c>
      <c r="D1395" s="5">
        <v>0</v>
      </c>
    </row>
    <row r="1396" spans="1:4">
      <c r="A1396" s="20">
        <v>1394</v>
      </c>
      <c r="B1396" s="35">
        <v>11</v>
      </c>
      <c r="C1396" s="5">
        <v>2</v>
      </c>
      <c r="D1396" s="5">
        <v>0</v>
      </c>
    </row>
    <row r="1397" spans="1:4">
      <c r="A1397" s="20">
        <v>1395</v>
      </c>
      <c r="B1397" s="35">
        <v>11</v>
      </c>
      <c r="C1397" s="5">
        <v>2</v>
      </c>
      <c r="D1397" s="5">
        <v>0</v>
      </c>
    </row>
    <row r="1398" spans="1:4">
      <c r="A1398" s="20">
        <v>1396</v>
      </c>
      <c r="B1398" s="35">
        <v>11</v>
      </c>
      <c r="C1398" s="5">
        <v>2</v>
      </c>
      <c r="D1398" s="5">
        <v>0</v>
      </c>
    </row>
    <row r="1399" spans="1:4">
      <c r="A1399" s="20">
        <v>1397</v>
      </c>
      <c r="B1399" s="35">
        <v>11</v>
      </c>
      <c r="C1399" s="5">
        <v>2</v>
      </c>
      <c r="D1399" s="5">
        <v>0</v>
      </c>
    </row>
    <row r="1400" spans="1:4">
      <c r="A1400" s="20">
        <v>1398</v>
      </c>
      <c r="B1400" s="35">
        <v>11</v>
      </c>
      <c r="C1400" s="5">
        <v>2</v>
      </c>
      <c r="D1400" s="5">
        <v>0</v>
      </c>
    </row>
    <row r="1401" spans="1:4">
      <c r="A1401" s="20">
        <v>1399</v>
      </c>
      <c r="B1401" s="35">
        <v>11</v>
      </c>
      <c r="C1401" s="5">
        <v>2</v>
      </c>
      <c r="D1401" s="5">
        <v>0</v>
      </c>
    </row>
    <row r="1402" spans="1:4">
      <c r="A1402" s="20">
        <v>1400</v>
      </c>
      <c r="B1402" s="35">
        <v>11</v>
      </c>
      <c r="C1402" s="5">
        <v>2</v>
      </c>
      <c r="D1402" s="5">
        <v>0</v>
      </c>
    </row>
    <row r="1403" spans="1:4">
      <c r="A1403" s="20">
        <v>1401</v>
      </c>
      <c r="B1403" s="35">
        <v>11</v>
      </c>
      <c r="C1403" s="5">
        <v>2</v>
      </c>
      <c r="D1403" s="5">
        <v>0</v>
      </c>
    </row>
    <row r="1404" spans="1:4">
      <c r="A1404" s="20">
        <v>1402</v>
      </c>
      <c r="B1404" s="35">
        <v>11</v>
      </c>
      <c r="C1404" s="5">
        <v>2</v>
      </c>
      <c r="D1404" s="5">
        <v>0</v>
      </c>
    </row>
    <row r="1405" spans="1:4">
      <c r="A1405" s="20">
        <v>1403</v>
      </c>
      <c r="B1405" s="35">
        <v>11</v>
      </c>
      <c r="C1405" s="5">
        <v>2</v>
      </c>
      <c r="D1405" s="5">
        <v>0</v>
      </c>
    </row>
    <row r="1406" spans="1:4">
      <c r="A1406" s="20">
        <v>1404</v>
      </c>
      <c r="B1406" s="35">
        <v>11</v>
      </c>
      <c r="C1406" s="5">
        <v>2</v>
      </c>
      <c r="D1406" s="5">
        <v>0</v>
      </c>
    </row>
    <row r="1407" spans="1:4">
      <c r="A1407" s="20">
        <v>1405</v>
      </c>
      <c r="B1407" s="35">
        <v>11</v>
      </c>
      <c r="C1407" s="5">
        <v>2</v>
      </c>
      <c r="D1407" s="5">
        <v>0</v>
      </c>
    </row>
    <row r="1408" spans="1:4">
      <c r="A1408" s="20">
        <v>1406</v>
      </c>
      <c r="B1408" s="35">
        <v>11</v>
      </c>
      <c r="C1408" s="5">
        <v>2</v>
      </c>
      <c r="D1408" s="5">
        <v>0</v>
      </c>
    </row>
    <row r="1409" spans="1:4">
      <c r="A1409" s="20">
        <v>1407</v>
      </c>
      <c r="B1409" s="35">
        <v>11</v>
      </c>
      <c r="C1409" s="5">
        <v>2</v>
      </c>
      <c r="D1409" s="5">
        <v>0</v>
      </c>
    </row>
    <row r="1410" spans="1:4">
      <c r="A1410" s="20">
        <v>1408</v>
      </c>
      <c r="B1410" s="35">
        <v>11</v>
      </c>
      <c r="C1410" s="5">
        <v>2</v>
      </c>
      <c r="D1410" s="5">
        <v>0</v>
      </c>
    </row>
    <row r="1411" spans="1:4">
      <c r="A1411" s="20">
        <v>1409</v>
      </c>
      <c r="B1411" s="35">
        <v>11</v>
      </c>
      <c r="C1411" s="5">
        <v>2</v>
      </c>
      <c r="D1411" s="5">
        <v>0</v>
      </c>
    </row>
    <row r="1412" spans="1:4">
      <c r="A1412" s="20">
        <v>1410</v>
      </c>
      <c r="B1412" s="35">
        <v>11</v>
      </c>
      <c r="C1412" s="5">
        <v>2</v>
      </c>
      <c r="D1412" s="5">
        <v>0</v>
      </c>
    </row>
    <row r="1413" spans="1:4">
      <c r="A1413" s="20">
        <v>1411</v>
      </c>
      <c r="B1413" s="35">
        <v>11</v>
      </c>
      <c r="C1413" s="5">
        <v>2</v>
      </c>
      <c r="D1413" s="5">
        <v>0</v>
      </c>
    </row>
    <row r="1414" spans="1:4">
      <c r="A1414" s="20">
        <v>1412</v>
      </c>
      <c r="B1414" s="35">
        <v>11</v>
      </c>
      <c r="C1414" s="5">
        <v>2</v>
      </c>
      <c r="D1414" s="5">
        <v>0</v>
      </c>
    </row>
    <row r="1415" spans="1:4">
      <c r="A1415" s="20">
        <v>1413</v>
      </c>
      <c r="B1415" s="35">
        <v>11</v>
      </c>
      <c r="C1415" s="5">
        <v>2</v>
      </c>
      <c r="D1415" s="5">
        <v>0</v>
      </c>
    </row>
    <row r="1416" spans="1:4">
      <c r="A1416" s="20">
        <v>1414</v>
      </c>
      <c r="B1416" s="35">
        <v>11</v>
      </c>
      <c r="C1416" s="5">
        <v>2</v>
      </c>
      <c r="D1416" s="5">
        <v>0</v>
      </c>
    </row>
    <row r="1417" spans="1:4">
      <c r="A1417" s="20">
        <v>1415</v>
      </c>
      <c r="B1417" s="35">
        <v>11</v>
      </c>
      <c r="C1417" s="5">
        <v>2</v>
      </c>
      <c r="D1417" s="5">
        <v>0</v>
      </c>
    </row>
    <row r="1418" spans="1:4">
      <c r="A1418" s="20">
        <v>1416</v>
      </c>
      <c r="B1418" s="35">
        <v>11</v>
      </c>
      <c r="C1418" s="5">
        <v>2</v>
      </c>
      <c r="D1418" s="5">
        <v>0</v>
      </c>
    </row>
    <row r="1419" spans="1:4">
      <c r="A1419" s="20">
        <v>1417</v>
      </c>
      <c r="B1419" s="35">
        <v>11</v>
      </c>
      <c r="C1419" s="5">
        <v>2</v>
      </c>
      <c r="D1419" s="5">
        <v>0</v>
      </c>
    </row>
    <row r="1420" spans="1:4">
      <c r="A1420" s="20">
        <v>1418</v>
      </c>
      <c r="B1420" s="35">
        <v>11</v>
      </c>
      <c r="C1420" s="5">
        <v>2</v>
      </c>
      <c r="D1420" s="5">
        <v>0</v>
      </c>
    </row>
    <row r="1421" spans="1:4">
      <c r="A1421" s="20">
        <v>1419</v>
      </c>
      <c r="B1421" s="35">
        <v>11</v>
      </c>
      <c r="C1421" s="5">
        <v>2</v>
      </c>
      <c r="D1421" s="5">
        <v>0</v>
      </c>
    </row>
    <row r="1422" spans="1:4">
      <c r="A1422" s="20">
        <v>1420</v>
      </c>
      <c r="B1422" s="35">
        <v>11</v>
      </c>
      <c r="C1422" s="5">
        <v>2</v>
      </c>
      <c r="D1422" s="5">
        <v>0</v>
      </c>
    </row>
    <row r="1423" spans="1:4">
      <c r="A1423" s="20">
        <v>1421</v>
      </c>
      <c r="B1423" s="35">
        <v>11</v>
      </c>
      <c r="C1423" s="5">
        <v>2</v>
      </c>
      <c r="D1423" s="5">
        <v>0</v>
      </c>
    </row>
    <row r="1424" spans="1:4">
      <c r="A1424" s="20">
        <v>1422</v>
      </c>
      <c r="B1424" s="35">
        <v>11</v>
      </c>
      <c r="C1424" s="5">
        <v>2</v>
      </c>
      <c r="D1424" s="5">
        <v>0</v>
      </c>
    </row>
    <row r="1425" spans="1:4">
      <c r="A1425" s="20">
        <v>1423</v>
      </c>
      <c r="B1425" s="35">
        <v>11</v>
      </c>
      <c r="C1425" s="5">
        <v>2</v>
      </c>
      <c r="D1425" s="5">
        <v>0</v>
      </c>
    </row>
    <row r="1426" spans="1:4">
      <c r="A1426" s="20">
        <v>1424</v>
      </c>
      <c r="B1426" s="35">
        <v>11</v>
      </c>
      <c r="C1426" s="5">
        <v>2</v>
      </c>
      <c r="D1426" s="5">
        <v>0</v>
      </c>
    </row>
    <row r="1427" spans="1:4">
      <c r="A1427" s="20">
        <v>1425</v>
      </c>
      <c r="B1427" s="35">
        <v>11</v>
      </c>
      <c r="C1427" s="5">
        <v>2</v>
      </c>
      <c r="D1427" s="5">
        <v>0</v>
      </c>
    </row>
    <row r="1428" spans="1:4">
      <c r="A1428" s="20">
        <v>1426</v>
      </c>
      <c r="B1428" s="35">
        <v>11</v>
      </c>
      <c r="C1428" s="5">
        <v>2</v>
      </c>
      <c r="D1428" s="5">
        <v>0</v>
      </c>
    </row>
    <row r="1429" spans="1:4">
      <c r="A1429" s="20">
        <v>1427</v>
      </c>
      <c r="B1429" s="35">
        <v>11</v>
      </c>
      <c r="C1429" s="5">
        <v>2</v>
      </c>
      <c r="D1429" s="5">
        <v>0</v>
      </c>
    </row>
    <row r="1430" spans="1:4">
      <c r="A1430" s="20">
        <v>1428</v>
      </c>
      <c r="B1430" s="35">
        <v>11</v>
      </c>
      <c r="C1430" s="5">
        <v>2</v>
      </c>
      <c r="D1430" s="5">
        <v>0</v>
      </c>
    </row>
    <row r="1431" spans="1:4">
      <c r="A1431" s="20">
        <v>1429</v>
      </c>
      <c r="B1431" s="35">
        <v>11</v>
      </c>
      <c r="C1431" s="5">
        <v>2</v>
      </c>
      <c r="D1431" s="5">
        <v>0</v>
      </c>
    </row>
    <row r="1432" spans="1:4">
      <c r="A1432" s="20">
        <v>1430</v>
      </c>
      <c r="B1432" s="35">
        <v>11</v>
      </c>
      <c r="C1432" s="5">
        <v>2</v>
      </c>
      <c r="D1432" s="5">
        <v>0</v>
      </c>
    </row>
    <row r="1433" spans="1:4">
      <c r="A1433" s="20">
        <v>1431</v>
      </c>
      <c r="B1433" s="35">
        <v>11</v>
      </c>
      <c r="C1433" s="5">
        <v>2</v>
      </c>
      <c r="D1433" s="5">
        <v>0</v>
      </c>
    </row>
    <row r="1434" spans="1:4">
      <c r="A1434" s="20">
        <v>1432</v>
      </c>
      <c r="B1434" s="35">
        <v>11</v>
      </c>
      <c r="C1434" s="5">
        <v>2</v>
      </c>
      <c r="D1434" s="5">
        <v>0</v>
      </c>
    </row>
    <row r="1435" spans="1:4">
      <c r="A1435" s="20">
        <v>1433</v>
      </c>
      <c r="B1435" s="35">
        <v>11</v>
      </c>
      <c r="C1435" s="5">
        <v>2</v>
      </c>
      <c r="D1435" s="5">
        <v>0</v>
      </c>
    </row>
    <row r="1436" spans="1:4">
      <c r="A1436" s="20">
        <v>1434</v>
      </c>
      <c r="B1436" s="35">
        <v>11</v>
      </c>
      <c r="C1436" s="5">
        <v>2</v>
      </c>
      <c r="D1436" s="5">
        <v>0</v>
      </c>
    </row>
    <row r="1437" spans="1:4">
      <c r="A1437" s="20">
        <v>1435</v>
      </c>
      <c r="B1437" s="35">
        <v>11</v>
      </c>
      <c r="C1437" s="5">
        <v>2</v>
      </c>
      <c r="D1437" s="5">
        <v>0</v>
      </c>
    </row>
    <row r="1438" spans="1:4">
      <c r="A1438" s="20">
        <v>1436</v>
      </c>
      <c r="B1438" s="35">
        <v>11</v>
      </c>
      <c r="C1438" s="5">
        <v>2</v>
      </c>
      <c r="D1438" s="5">
        <v>0</v>
      </c>
    </row>
    <row r="1439" spans="1:4">
      <c r="A1439" s="20">
        <v>1437</v>
      </c>
      <c r="B1439" s="35">
        <v>11</v>
      </c>
      <c r="C1439" s="5">
        <v>2</v>
      </c>
      <c r="D1439" s="5">
        <v>0</v>
      </c>
    </row>
    <row r="1440" spans="1:4">
      <c r="A1440" s="20">
        <v>1438</v>
      </c>
      <c r="B1440" s="35">
        <v>11</v>
      </c>
      <c r="C1440" s="5">
        <v>2</v>
      </c>
      <c r="D1440" s="5">
        <v>0</v>
      </c>
    </row>
    <row r="1441" spans="1:4">
      <c r="A1441" s="20">
        <v>1439</v>
      </c>
      <c r="B1441" s="35">
        <v>11</v>
      </c>
      <c r="C1441" s="5">
        <v>2</v>
      </c>
      <c r="D1441" s="5">
        <v>0</v>
      </c>
    </row>
    <row r="1442" spans="1:4">
      <c r="A1442" s="10">
        <v>1440</v>
      </c>
      <c r="B1442" s="36">
        <v>11</v>
      </c>
      <c r="C1442" s="8">
        <v>2</v>
      </c>
      <c r="D1442" s="8">
        <v>0</v>
      </c>
    </row>
  </sheetData>
  <mergeCells count="1">
    <mergeCell ref="J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2025-11-19T14:56:25Z</dcterms:created>
  <dcterms:modified xsi:type="dcterms:W3CDTF">2025-12-08T18:36:50Z</dcterms:modified>
  <cp:category/>
  <cp:contentStatus/>
</cp:coreProperties>
</file>